
<file path=[Content_Types].xml><?xml version="1.0" encoding="utf-8"?>
<Types xmlns="http://schemas.openxmlformats.org/package/2006/content-types">
  <Default ContentType="application/vnd.ms-office.vbaProject" Extension="bin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STENCIA" sheetId="1" r:id="rId5"/>
    <sheet state="visible" name="REPORTE CONSOLIDADO" sheetId="2" r:id="rId6"/>
    <sheet state="hidden" name="HORAS EFECTIVAS" sheetId="3" r:id="rId7"/>
    <sheet state="hidden" name="DATA" sheetId="4" r:id="rId8"/>
    <sheet state="hidden" name="CALEND" sheetId="5" r:id="rId9"/>
  </sheets>
  <externalReferences>
    <externalReference r:id="rId10"/>
  </externalReferences>
  <definedNames>
    <definedName localSheetId="1" name="AñoNatural">'REPORTE CONSOLIDADO'!$P$5</definedName>
    <definedName name="MESES">CALEND!$A$17:$A$28</definedName>
    <definedName name="AñoNatural">ASISTENCIA!$S$5</definedName>
  </definedNames>
  <calcPr/>
  <extLst>
    <ext uri="GoogleSheetsCustomDataVersion2">
      <go:sheetsCustomData xmlns:go="http://customooxmlschemas.google.com/" r:id="rId11" roundtripDataChecksum="Cuylqp1U+2qBTa3FEo5Y62cwy9LLc002HybmUQsb3Ug="/>
    </ext>
  </extLst>
</workbook>
</file>

<file path=xl/sharedStrings.xml><?xml version="1.0" encoding="utf-8"?>
<sst xmlns="http://schemas.openxmlformats.org/spreadsheetml/2006/main" count="3730" uniqueCount="1177">
  <si>
    <t>Nombre de IE</t>
  </si>
  <si>
    <t>Código modular</t>
  </si>
  <si>
    <t>Código de local</t>
  </si>
  <si>
    <t>Nivel / Modalidad</t>
  </si>
  <si>
    <t>FORMATO 02</t>
  </si>
  <si>
    <t>Gestión / Dependencia</t>
  </si>
  <si>
    <t>Dirección de IE</t>
  </si>
  <si>
    <t>Localidad</t>
  </si>
  <si>
    <t>Centro Poblado</t>
  </si>
  <si>
    <t>Área Censal (500 Habitantes)</t>
  </si>
  <si>
    <t>Departamento / Provincia / Distrito</t>
  </si>
  <si>
    <t>Departamento</t>
  </si>
  <si>
    <t>Provincia</t>
  </si>
  <si>
    <t>Distrito</t>
  </si>
  <si>
    <t>Turno</t>
  </si>
  <si>
    <t>Turno_of</t>
  </si>
  <si>
    <t>Característica (Censo educativo 2017)</t>
  </si>
  <si>
    <t>Alumnos (Censo educativo 2017)</t>
  </si>
  <si>
    <t>Docentes (Censo educativo 2017)</t>
  </si>
  <si>
    <t>Secciones (Censo educativo 2017)</t>
  </si>
  <si>
    <t>335 JUAN FRANCISCO SANTILLANA BARBOZA</t>
  </si>
  <si>
    <t>0506691</t>
  </si>
  <si>
    <t>079338</t>
  </si>
  <si>
    <t>Inicial - Jardín</t>
  </si>
  <si>
    <t>Pública - Sector Educación</t>
  </si>
  <si>
    <t>PLAZA PRINCIPAL</t>
  </si>
  <si>
    <t/>
  </si>
  <si>
    <t>NORMAS  PARA EL REGISTRO Y CONTROL  DE ASISTENCIA  Y SU  APLICACIÓN  EN LA PLANILLA  ÚNICA DE PAGOS DE LOS  PROFESORES Y AUXILIARES DE EDUCACIÓN, EN EL  MARCO  DE LA LEY DE REFORMA MAGISTERIAL Y SU REGLAMENTO (R.S.G. N° 326-2017-MINEDU)</t>
  </si>
  <si>
    <t>MAYNAY</t>
  </si>
  <si>
    <t>Urbana</t>
  </si>
  <si>
    <t>Ayacucho / Huanta / Huanta</t>
  </si>
  <si>
    <t>Ayacucho</t>
  </si>
  <si>
    <t>Huanta</t>
  </si>
  <si>
    <t>Continuo sólo en la mañana</t>
  </si>
  <si>
    <t>Mañana</t>
  </si>
  <si>
    <t>No Aplica</t>
  </si>
  <si>
    <t>INFORME DE HORAS EFECTIVAS DE TRABAJO PEDAGÓGICO EN LAS INSTITUCIONES EDUCATIVAS PÚBLICAS</t>
  </si>
  <si>
    <t>347</t>
  </si>
  <si>
    <t>0563940</t>
  </si>
  <si>
    <t>080450</t>
  </si>
  <si>
    <t>JIRON MARISCAL CASTILLA S/N</t>
  </si>
  <si>
    <t>MACACHACRA</t>
  </si>
  <si>
    <t>Ayacucho / Huanta / Iguain</t>
  </si>
  <si>
    <t>Iguain</t>
  </si>
  <si>
    <t>CARGO</t>
  </si>
  <si>
    <t>CONDICION LABORAL</t>
  </si>
  <si>
    <t>TURNO</t>
  </si>
  <si>
    <t>300 LOS NIÑOS DE FATIMA</t>
  </si>
  <si>
    <t>0421727</t>
  </si>
  <si>
    <t>562670</t>
  </si>
  <si>
    <t>JIRON TOMASSA CCASA Y CADENA S/N</t>
  </si>
  <si>
    <t>LURICOCHA</t>
  </si>
  <si>
    <t>Ayacucho / Huanta / Luricocha</t>
  </si>
  <si>
    <t>Director(e)</t>
  </si>
  <si>
    <t>Nombrado</t>
  </si>
  <si>
    <t>Luricocha</t>
  </si>
  <si>
    <t>UNIDAD DE GESTIÓN EDUCATIVA LOCAL HUANTA</t>
  </si>
  <si>
    <t>ANEXO 03</t>
  </si>
  <si>
    <t>112 ROSA RICHTER DE AYARZA</t>
  </si>
  <si>
    <t>0421719</t>
  </si>
  <si>
    <t>079300</t>
  </si>
  <si>
    <t>AVENIDA ANDRES AVELINO CACERES 120</t>
  </si>
  <si>
    <t>SANTA ROSA</t>
  </si>
  <si>
    <t>HUANTA</t>
  </si>
  <si>
    <t>Director Desig.</t>
  </si>
  <si>
    <t>Destacado</t>
  </si>
  <si>
    <t>429 MARIA AUXILIADORA</t>
  </si>
  <si>
    <t>Tarde</t>
  </si>
  <si>
    <t>0722025</t>
  </si>
  <si>
    <t>079395</t>
  </si>
  <si>
    <t>JIRON RAZUHUILLCA S/N</t>
  </si>
  <si>
    <t xml:space="preserve">FORMATO 01: REPORTE DE ASISTENCIA DETALLADO </t>
  </si>
  <si>
    <t>313</t>
  </si>
  <si>
    <t>0471573</t>
  </si>
  <si>
    <t>080332</t>
  </si>
  <si>
    <t>JIRON MARISCAL CACERES S/N</t>
  </si>
  <si>
    <t>HUAMANGUILLA</t>
  </si>
  <si>
    <t>Ayacucho / Huanta / Huamanguilla</t>
  </si>
  <si>
    <t>Huamanguilla</t>
  </si>
  <si>
    <t>399</t>
  </si>
  <si>
    <t>0670281</t>
  </si>
  <si>
    <t>079343</t>
  </si>
  <si>
    <t>CARHUAHURAN</t>
  </si>
  <si>
    <t>Rural</t>
  </si>
  <si>
    <t>Ayacucho / Huanta / Uchuraccay</t>
  </si>
  <si>
    <t>Uchuraccay</t>
  </si>
  <si>
    <t>302 GONZALEZ VIGIL</t>
  </si>
  <si>
    <t>0421735</t>
  </si>
  <si>
    <t>079362</t>
  </si>
  <si>
    <t>AVENIDA SAN MARTIN 578</t>
  </si>
  <si>
    <t>356</t>
  </si>
  <si>
    <t>0593202</t>
  </si>
  <si>
    <t>515344</t>
  </si>
  <si>
    <t>JIRON VENEZUELA S/N</t>
  </si>
  <si>
    <t>SAN JOSE DE SECCE</t>
  </si>
  <si>
    <t>Ayacucho / Huanta / Santillana</t>
  </si>
  <si>
    <t>Santillana</t>
  </si>
  <si>
    <t>338</t>
  </si>
  <si>
    <t>0539304</t>
  </si>
  <si>
    <t>515339</t>
  </si>
  <si>
    <t>Sub Director</t>
  </si>
  <si>
    <t>Contratado</t>
  </si>
  <si>
    <t>JIRON FELICIANO TAIPE S/N</t>
  </si>
  <si>
    <t>Noche</t>
  </si>
  <si>
    <t>ARANHUAY</t>
  </si>
  <si>
    <t>UGEL: SAN ROMÁN</t>
  </si>
  <si>
    <t>414 PEDRO RUIZ GALLO</t>
  </si>
  <si>
    <t>0722058</t>
  </si>
  <si>
    <t>515377</t>
  </si>
  <si>
    <t xml:space="preserve">MES: </t>
  </si>
  <si>
    <t>AVENIDA 28 DE JULIO S/N</t>
  </si>
  <si>
    <t>LLOCHEGUA</t>
  </si>
  <si>
    <t>Ayacucho / Huanta / Llochegua</t>
  </si>
  <si>
    <t>Llochegua</t>
  </si>
  <si>
    <t>312</t>
  </si>
  <si>
    <t>0471540</t>
  </si>
  <si>
    <t>515358</t>
  </si>
  <si>
    <t>AVENIDA 08 DE DICIEMBRE S/N</t>
  </si>
  <si>
    <t>MARZO</t>
  </si>
  <si>
    <t>SIVIA</t>
  </si>
  <si>
    <t>Ayacucho / Huanta / Sivia</t>
  </si>
  <si>
    <t>Sivia</t>
  </si>
  <si>
    <t>400</t>
  </si>
  <si>
    <t>0670299</t>
  </si>
  <si>
    <t>999643</t>
  </si>
  <si>
    <t>AVENIDA CEDRO S/N</t>
  </si>
  <si>
    <t>CANAIRE</t>
  </si>
  <si>
    <t>Ayacucho / Huanta / Canayre</t>
  </si>
  <si>
    <t>Canayre</t>
  </si>
  <si>
    <t>387</t>
  </si>
  <si>
    <t>0670158</t>
  </si>
  <si>
    <t>515400</t>
  </si>
  <si>
    <t>ANEXO 04</t>
  </si>
  <si>
    <t>SANAMARCA S/N</t>
  </si>
  <si>
    <t>PAMPACORIS</t>
  </si>
  <si>
    <t>SANAMARCA</t>
  </si>
  <si>
    <t>416 MANUEL JESUS URBINA CARDENAS</t>
  </si>
  <si>
    <t>0722074</t>
  </si>
  <si>
    <t>080129</t>
  </si>
  <si>
    <t>JIRON MAGISTERIAL S/N</t>
  </si>
  <si>
    <t>SAN JOSE DE TRIBOLINE</t>
  </si>
  <si>
    <t>415</t>
  </si>
  <si>
    <t>0722066</t>
  </si>
  <si>
    <t>515382</t>
  </si>
  <si>
    <t>MAYAPO</t>
  </si>
  <si>
    <t>FORMATO 02: REPORTE  CONSOLIDADO DE INASISTENCIAS, TARDANZAS Y PERMISOS SIN GOCE DE REMUNERACIÓN</t>
  </si>
  <si>
    <t>AÑO:</t>
  </si>
  <si>
    <t>429-68</t>
  </si>
  <si>
    <t>1348333</t>
  </si>
  <si>
    <t>561326</t>
  </si>
  <si>
    <t>TUTUMBARO</t>
  </si>
  <si>
    <t>429-5</t>
  </si>
  <si>
    <t>1348341</t>
  </si>
  <si>
    <t>561369</t>
  </si>
  <si>
    <t>LUGAR/DIREC.</t>
  </si>
  <si>
    <t>HUAYNACANCHA S/N</t>
  </si>
  <si>
    <t>HUAYNACANCHA</t>
  </si>
  <si>
    <t>417</t>
  </si>
  <si>
    <t>1348259</t>
  </si>
  <si>
    <t>561307</t>
  </si>
  <si>
    <t>TURNO:</t>
  </si>
  <si>
    <t>VIRACOCHAN</t>
  </si>
  <si>
    <t>Ayacucho / Huanta / Ayahuanco</t>
  </si>
  <si>
    <t>Ayahuanco</t>
  </si>
  <si>
    <t>418</t>
  </si>
  <si>
    <t>1348267</t>
  </si>
  <si>
    <t>561312</t>
  </si>
  <si>
    <t>HUALLHUA</t>
  </si>
  <si>
    <t>Ayacucho / Huanta / Pucacolpa</t>
  </si>
  <si>
    <t>Pucacolpa</t>
  </si>
  <si>
    <t>429-41</t>
  </si>
  <si>
    <t>1348358</t>
  </si>
  <si>
    <t>561374</t>
  </si>
  <si>
    <t>CCANO</t>
  </si>
  <si>
    <t>REG/PROV/DIST.</t>
  </si>
  <si>
    <t>429-53</t>
  </si>
  <si>
    <t>1348366</t>
  </si>
  <si>
    <t>561388</t>
  </si>
  <si>
    <t>PURUS</t>
  </si>
  <si>
    <t>Ayacucho / Huanta / Chaca</t>
  </si>
  <si>
    <t>Chaca</t>
  </si>
  <si>
    <t>Coord. Pedag.</t>
  </si>
  <si>
    <t>429-48</t>
  </si>
  <si>
    <t>CAS</t>
  </si>
  <si>
    <t>1348374</t>
  </si>
  <si>
    <t>561393</t>
  </si>
  <si>
    <t>MOSOQLLAQTA</t>
  </si>
  <si>
    <t>MOSOCCLLAQTA</t>
  </si>
  <si>
    <t>INSTITUCIÓN EDUCATIVA:</t>
  </si>
  <si>
    <t>CORAZON DE JESUS</t>
  </si>
  <si>
    <t>1348523</t>
  </si>
  <si>
    <t>080054</t>
  </si>
  <si>
    <t>Privada - Particular</t>
  </si>
  <si>
    <t>JIRON MIGUEL UNTIVEROS 578</t>
  </si>
  <si>
    <t>SAN FRANCISCO DE ASIS</t>
  </si>
  <si>
    <t>1348564</t>
  </si>
  <si>
    <t>079461</t>
  </si>
  <si>
    <t>JIRON PUNO S/N</t>
  </si>
  <si>
    <t>429-42</t>
  </si>
  <si>
    <t>1320159</t>
  </si>
  <si>
    <t>332523</t>
  </si>
  <si>
    <t>PARQUE PLAZA PRINCIPAL</t>
  </si>
  <si>
    <t>IQUICHA</t>
  </si>
  <si>
    <t>429-74 LAS PALMERAS</t>
  </si>
  <si>
    <t>1351238</t>
  </si>
  <si>
    <t>515966</t>
  </si>
  <si>
    <t>PUERTO AMARGURA</t>
  </si>
  <si>
    <t>429-59</t>
  </si>
  <si>
    <t>1351246</t>
  </si>
  <si>
    <t>519610</t>
  </si>
  <si>
    <t>CHUVIVANA</t>
  </si>
  <si>
    <t>429-60</t>
  </si>
  <si>
    <t>1351253</t>
  </si>
  <si>
    <t>519629</t>
  </si>
  <si>
    <t>GUAYAQUIL</t>
  </si>
  <si>
    <t>Profesor</t>
  </si>
  <si>
    <t>429-64</t>
  </si>
  <si>
    <t>1351261</t>
  </si>
  <si>
    <t>519648</t>
  </si>
  <si>
    <t>NIVEL EDUCATIVO Y MODALIDAD:</t>
  </si>
  <si>
    <t>ROSARIO ACON</t>
  </si>
  <si>
    <t>429-65</t>
  </si>
  <si>
    <t>1351279</t>
  </si>
  <si>
    <t>519653</t>
  </si>
  <si>
    <t>SAN GERARDO</t>
  </si>
  <si>
    <t>429-67</t>
  </si>
  <si>
    <t>1351287</t>
  </si>
  <si>
    <t>519672</t>
  </si>
  <si>
    <t>TRIBOLINE ALTA</t>
  </si>
  <si>
    <t>LUGAR:</t>
  </si>
  <si>
    <t>429-58</t>
  </si>
  <si>
    <t>1351295</t>
  </si>
  <si>
    <t>519605</t>
  </si>
  <si>
    <t>CHALLHUAMAYO</t>
  </si>
  <si>
    <t>VIRGEN DE LOURDES</t>
  </si>
  <si>
    <t>429-66</t>
  </si>
  <si>
    <t>1351303</t>
  </si>
  <si>
    <t>519667</t>
  </si>
  <si>
    <t>SAN JUAN DE MATUCANA</t>
  </si>
  <si>
    <t>MATUCANA BAJA</t>
  </si>
  <si>
    <t>NIVEL EDUCATIVO:</t>
  </si>
  <si>
    <t>429-62</t>
  </si>
  <si>
    <t>1351311</t>
  </si>
  <si>
    <t>519634</t>
  </si>
  <si>
    <t>MONTERRICO</t>
  </si>
  <si>
    <t>429-75</t>
  </si>
  <si>
    <t>1352491</t>
  </si>
  <si>
    <t>521104</t>
  </si>
  <si>
    <t>LOS ANGELES</t>
  </si>
  <si>
    <t>LA ESPERANZA</t>
  </si>
  <si>
    <t>Aux. Educación</t>
  </si>
  <si>
    <t>MODALIDAD:</t>
  </si>
  <si>
    <t>CODIGO MODULAR:</t>
  </si>
  <si>
    <t>429-73</t>
  </si>
  <si>
    <t>1352509</t>
  </si>
  <si>
    <t>521095</t>
  </si>
  <si>
    <t>JUNIN LIBERTAD</t>
  </si>
  <si>
    <t>429-82</t>
  </si>
  <si>
    <t>1352525</t>
  </si>
  <si>
    <t>521123</t>
  </si>
  <si>
    <t>DEP</t>
  </si>
  <si>
    <t>VILLA VIRGEN S/N</t>
  </si>
  <si>
    <t>VILLA VIRGEN</t>
  </si>
  <si>
    <t>PUNO</t>
  </si>
  <si>
    <t>429-83</t>
  </si>
  <si>
    <t>1352533</t>
  </si>
  <si>
    <t>521137</t>
  </si>
  <si>
    <t>YARURI</t>
  </si>
  <si>
    <t>PROV</t>
  </si>
  <si>
    <t>MES:</t>
  </si>
  <si>
    <t>429-72</t>
  </si>
  <si>
    <t>1352483</t>
  </si>
  <si>
    <t>521081</t>
  </si>
  <si>
    <t>SAN ROMÁN</t>
  </si>
  <si>
    <t>GLORIA AMARGURA</t>
  </si>
  <si>
    <t>DIS</t>
  </si>
  <si>
    <t>429-71</t>
  </si>
  <si>
    <t>1352475</t>
  </si>
  <si>
    <t>521076</t>
  </si>
  <si>
    <t>CORAZON PATA</t>
  </si>
  <si>
    <t>429-69</t>
  </si>
  <si>
    <t>1352459</t>
  </si>
  <si>
    <t>521057</t>
  </si>
  <si>
    <t>AREQUIPA</t>
  </si>
  <si>
    <t>Pers. Servicio</t>
  </si>
  <si>
    <t>429-70</t>
  </si>
  <si>
    <t>1352517</t>
  </si>
  <si>
    <t>521118</t>
  </si>
  <si>
    <t>CHIHUILLO SAN ANTONIO</t>
  </si>
  <si>
    <t>429-57</t>
  </si>
  <si>
    <t>1352467</t>
  </si>
  <si>
    <t>521062</t>
  </si>
  <si>
    <t>AREQUIPA ALTA</t>
  </si>
  <si>
    <t>429-43</t>
  </si>
  <si>
    <t>1353507</t>
  </si>
  <si>
    <t>522170</t>
  </si>
  <si>
    <t>CHACA</t>
  </si>
  <si>
    <t>429-7</t>
  </si>
  <si>
    <t>1353515</t>
  </si>
  <si>
    <t>Oficinista</t>
  </si>
  <si>
    <t>522189</t>
  </si>
  <si>
    <t>UCHURACCAY</t>
  </si>
  <si>
    <t>N°</t>
  </si>
  <si>
    <t>DEPARTAMENTO</t>
  </si>
  <si>
    <t>429-20</t>
  </si>
  <si>
    <t>1353937</t>
  </si>
  <si>
    <t>522194</t>
  </si>
  <si>
    <t>PANTI S/N</t>
  </si>
  <si>
    <t>PANTI</t>
  </si>
  <si>
    <t>429-4</t>
  </si>
  <si>
    <t>DNI</t>
  </si>
  <si>
    <t>1353945</t>
  </si>
  <si>
    <t>522207</t>
  </si>
  <si>
    <t>HUAYCHAO</t>
  </si>
  <si>
    <t>APELLIDOS Y NOMBRES</t>
  </si>
  <si>
    <t>PROVINCIA</t>
  </si>
  <si>
    <t>429-3</t>
  </si>
  <si>
    <t>1353952</t>
  </si>
  <si>
    <t>522212</t>
  </si>
  <si>
    <t>CCATUPATA</t>
  </si>
  <si>
    <t>QATUPATA</t>
  </si>
  <si>
    <t>JORNADA LABORAL</t>
  </si>
  <si>
    <t>429-56</t>
  </si>
  <si>
    <t>DIAS CALENDARIO</t>
  </si>
  <si>
    <t>1353960</t>
  </si>
  <si>
    <t>522226</t>
  </si>
  <si>
    <t>TOCAS QUESERA</t>
  </si>
  <si>
    <t>DISTRITO</t>
  </si>
  <si>
    <t>429-8</t>
  </si>
  <si>
    <t>1353978</t>
  </si>
  <si>
    <t>851302</t>
  </si>
  <si>
    <t>NUEVO PROGRESO</t>
  </si>
  <si>
    <t>429-47</t>
  </si>
  <si>
    <t>1353986</t>
  </si>
  <si>
    <t>522245</t>
  </si>
  <si>
    <t>MARCCARACCAY</t>
  </si>
  <si>
    <t>429-6</t>
  </si>
  <si>
    <t>1353994</t>
  </si>
  <si>
    <t>522250</t>
  </si>
  <si>
    <t>Secretaria(o)</t>
  </si>
  <si>
    <t>PAMPALCA</t>
  </si>
  <si>
    <t>COD MOD II.EE.</t>
  </si>
  <si>
    <t>MES</t>
  </si>
  <si>
    <t>429-52 JOEL DURAND SOBREVILLA</t>
  </si>
  <si>
    <t>1354000</t>
  </si>
  <si>
    <t>522269</t>
  </si>
  <si>
    <t>MARCCARI</t>
  </si>
  <si>
    <t>38254 LUIS CAVERO BENDEZU</t>
  </si>
  <si>
    <t>COD.</t>
  </si>
  <si>
    <t>1361914</t>
  </si>
  <si>
    <t>079357</t>
  </si>
  <si>
    <t>JIRON RAZUHUILLCA 768</t>
  </si>
  <si>
    <t>429-54 JUAN CACERES QUISPE</t>
  </si>
  <si>
    <t>1361948</t>
  </si>
  <si>
    <t>526168</t>
  </si>
  <si>
    <t>SANTA ROSA DE ARAUJO</t>
  </si>
  <si>
    <t>Matriz Horas</t>
  </si>
  <si>
    <t>SAN ALFONSO</t>
  </si>
  <si>
    <t>1372762</t>
  </si>
  <si>
    <t>561500</t>
  </si>
  <si>
    <t>JIRON AYACUCHO 651</t>
  </si>
  <si>
    <t>429-61</t>
  </si>
  <si>
    <t>1374578</t>
  </si>
  <si>
    <t>535605</t>
  </si>
  <si>
    <t>HUAMANPATA</t>
  </si>
  <si>
    <t>JOR</t>
  </si>
  <si>
    <t>Inasistencia + LSGH</t>
  </si>
  <si>
    <t>EDAD A CARGO</t>
  </si>
  <si>
    <t>INASISTENCIAS JUSTIFICADAS</t>
  </si>
  <si>
    <t>429-63</t>
  </si>
  <si>
    <t>1374602</t>
  </si>
  <si>
    <t>535648</t>
  </si>
  <si>
    <t>RAMADILLA</t>
  </si>
  <si>
    <t>OBSERVACIONES</t>
  </si>
  <si>
    <t>429-79</t>
  </si>
  <si>
    <t>1374628</t>
  </si>
  <si>
    <t>535667</t>
  </si>
  <si>
    <t>SANTA TERESA</t>
  </si>
  <si>
    <t>SECCIÓN</t>
  </si>
  <si>
    <t>LICENCIAS</t>
  </si>
  <si>
    <t>429-78</t>
  </si>
  <si>
    <t>1374610</t>
  </si>
  <si>
    <t>535653</t>
  </si>
  <si>
    <t>JIRON FELICITAS AGUIRRE ORE S/N</t>
  </si>
  <si>
    <t>HORAS PROGRAM. EN EL MES</t>
  </si>
  <si>
    <t>FALTAS</t>
  </si>
  <si>
    <t>Vigilante</t>
  </si>
  <si>
    <t>TARDANZAS</t>
  </si>
  <si>
    <t>HORAS EFECTIVAS DE TRABAJO ESCOLAR - MES</t>
  </si>
  <si>
    <t>PERMISOS SG</t>
  </si>
  <si>
    <t>PUEBLO NUEVO SANTA ROSA</t>
  </si>
  <si>
    <t>429-81</t>
  </si>
  <si>
    <t>1374644</t>
  </si>
  <si>
    <t>535686</t>
  </si>
  <si>
    <t>VILLA MEJORADA</t>
  </si>
  <si>
    <t>HUELGA PARO</t>
  </si>
  <si>
    <t>Observaciones</t>
  </si>
  <si>
    <t xml:space="preserve">TOTAL DE </t>
  </si>
  <si>
    <t>429-76</t>
  </si>
  <si>
    <t>1374586</t>
  </si>
  <si>
    <t>535629</t>
  </si>
  <si>
    <t>MATUCANA</t>
  </si>
  <si>
    <t>429-80</t>
  </si>
  <si>
    <t>1374636</t>
  </si>
  <si>
    <t>535672</t>
  </si>
  <si>
    <t>SOL NACIENTE</t>
  </si>
  <si>
    <t>GLORIA SOL NACIENTE</t>
  </si>
  <si>
    <t>429-77</t>
  </si>
  <si>
    <t>1374594</t>
  </si>
  <si>
    <t>535634</t>
  </si>
  <si>
    <t>MOD.</t>
  </si>
  <si>
    <t>PERIAVENTE BAJA / PERIAVENTE ALTA</t>
  </si>
  <si>
    <t>DIAS</t>
  </si>
  <si>
    <t>CON GOCE</t>
  </si>
  <si>
    <t>SIN GOCE</t>
  </si>
  <si>
    <t>APELLIDOS Y NOMRES</t>
  </si>
  <si>
    <t>DU</t>
  </si>
  <si>
    <t>429-44</t>
  </si>
  <si>
    <t>1376342</t>
  </si>
  <si>
    <t>537572</t>
  </si>
  <si>
    <t>MINUTOS (*)</t>
  </si>
  <si>
    <t>CULLUPUQUIO</t>
  </si>
  <si>
    <t xml:space="preserve">     Semanal</t>
  </si>
  <si>
    <t>HORAS (*)</t>
  </si>
  <si>
    <t>MUNUTOS (*)</t>
  </si>
  <si>
    <t>429-45</t>
  </si>
  <si>
    <t>1376359</t>
  </si>
  <si>
    <t>537586</t>
  </si>
  <si>
    <t>LAUPAY</t>
  </si>
  <si>
    <t>NADA</t>
  </si>
  <si>
    <t>429-46</t>
  </si>
  <si>
    <t>1376367</t>
  </si>
  <si>
    <t>537591</t>
  </si>
  <si>
    <t>LLAQHUAS</t>
  </si>
  <si>
    <t>SANTA CRUZ DE LLACCHUAS</t>
  </si>
  <si>
    <t>DIAS EFECTIVAS DE TRABAJO ESCOLAR</t>
  </si>
  <si>
    <t>429-49</t>
  </si>
  <si>
    <t>1376375</t>
  </si>
  <si>
    <t>537614</t>
  </si>
  <si>
    <t>OQOPEQA</t>
  </si>
  <si>
    <t>OCCOPECCA</t>
  </si>
  <si>
    <t xml:space="preserve">HORAS </t>
  </si>
  <si>
    <t>429-50</t>
  </si>
  <si>
    <t>1376383</t>
  </si>
  <si>
    <t>537628</t>
  </si>
  <si>
    <t>PAQCHANQA</t>
  </si>
  <si>
    <t>PACCHANCCA</t>
  </si>
  <si>
    <t>429-51</t>
  </si>
  <si>
    <t>1376391</t>
  </si>
  <si>
    <t>537633</t>
  </si>
  <si>
    <t>PICAS</t>
  </si>
  <si>
    <t>429-55</t>
  </si>
  <si>
    <t>1376409</t>
  </si>
  <si>
    <t>537647</t>
  </si>
  <si>
    <t>SAÑOQ</t>
  </si>
  <si>
    <t>429-2</t>
  </si>
  <si>
    <t>1402197</t>
  </si>
  <si>
    <t>556240</t>
  </si>
  <si>
    <t>JIRON 7 DE JUNIO S/N</t>
  </si>
  <si>
    <t>NUEVA JERUSALEN</t>
  </si>
  <si>
    <t>LABO</t>
  </si>
  <si>
    <t>429-9</t>
  </si>
  <si>
    <t>1402205</t>
  </si>
  <si>
    <t>829844</t>
  </si>
  <si>
    <t>CCEROBAMBA</t>
  </si>
  <si>
    <t>429-10</t>
  </si>
  <si>
    <t>1402213</t>
  </si>
  <si>
    <t>556264</t>
  </si>
  <si>
    <t>CHACHASPATA</t>
  </si>
  <si>
    <t>CORAZON DE DON BOSCO</t>
  </si>
  <si>
    <t>1402221</t>
  </si>
  <si>
    <t>556278</t>
  </si>
  <si>
    <t>AVENIDA SAN MARTIN 308</t>
  </si>
  <si>
    <t xml:space="preserve">EFECTIVAS </t>
  </si>
  <si>
    <t>429-1 CAPULLITOS DE JESUS</t>
  </si>
  <si>
    <t>1402189</t>
  </si>
  <si>
    <t>556235</t>
  </si>
  <si>
    <t>JIRON RICARDO PALMA S/N</t>
  </si>
  <si>
    <t>ACCOSCCA</t>
  </si>
  <si>
    <t>429-40</t>
  </si>
  <si>
    <t>1422989</t>
  </si>
  <si>
    <t>571655</t>
  </si>
  <si>
    <t>HUAYLLAY</t>
  </si>
  <si>
    <t>429-11</t>
  </si>
  <si>
    <t>1422708</t>
  </si>
  <si>
    <t>571373</t>
  </si>
  <si>
    <t>QANQAYLLO</t>
  </si>
  <si>
    <t>lu.</t>
  </si>
  <si>
    <t>429-12</t>
  </si>
  <si>
    <t>1422716</t>
  </si>
  <si>
    <t>571387</t>
  </si>
  <si>
    <t>ma.</t>
  </si>
  <si>
    <t>mi.</t>
  </si>
  <si>
    <t>CEDROPATA</t>
  </si>
  <si>
    <t>ju.</t>
  </si>
  <si>
    <t>vi.</t>
  </si>
  <si>
    <t>RAL</t>
  </si>
  <si>
    <t>429-13 CARMEN SOTO FLORES</t>
  </si>
  <si>
    <t>1422724</t>
  </si>
  <si>
    <t>571392</t>
  </si>
  <si>
    <t>JIRON MILTON CORDOVA LA TORRE S/N</t>
  </si>
  <si>
    <t>LUCMA PAMPA / NEGRO HUAYCCO</t>
  </si>
  <si>
    <t>UYUVIRCA</t>
  </si>
  <si>
    <t>429-14</t>
  </si>
  <si>
    <t>1422732</t>
  </si>
  <si>
    <t>571405</t>
  </si>
  <si>
    <t>ESPIRITU SANTO</t>
  </si>
  <si>
    <t>429-15</t>
  </si>
  <si>
    <t>1422740</t>
  </si>
  <si>
    <t>571410</t>
  </si>
  <si>
    <t>RODEOPAMPA</t>
  </si>
  <si>
    <t>429-16</t>
  </si>
  <si>
    <t>1422757</t>
  </si>
  <si>
    <t>571429</t>
  </si>
  <si>
    <t>PALMAYOQ</t>
  </si>
  <si>
    <t>PALMAYOC</t>
  </si>
  <si>
    <t>429-17</t>
  </si>
  <si>
    <t>1422765</t>
  </si>
  <si>
    <t>571434</t>
  </si>
  <si>
    <t>HUANCAYOCC</t>
  </si>
  <si>
    <t>429-18</t>
  </si>
  <si>
    <t>1422773</t>
  </si>
  <si>
    <t>571448</t>
  </si>
  <si>
    <t>PUCHKAS</t>
  </si>
  <si>
    <t>PUCHCAS</t>
  </si>
  <si>
    <t>429-19</t>
  </si>
  <si>
    <t>1422781</t>
  </si>
  <si>
    <t>571453</t>
  </si>
  <si>
    <t>QUINRAPA</t>
  </si>
  <si>
    <t>429-21</t>
  </si>
  <si>
    <t>1422799</t>
  </si>
  <si>
    <t>571467</t>
  </si>
  <si>
    <t>ÑAHUINPUQUIO</t>
  </si>
  <si>
    <t>429-22</t>
  </si>
  <si>
    <t>1422807</t>
  </si>
  <si>
    <t>571472</t>
  </si>
  <si>
    <t>SEQLLAS</t>
  </si>
  <si>
    <t>SECCLLAS</t>
  </si>
  <si>
    <t>J</t>
  </si>
  <si>
    <t>429-23</t>
  </si>
  <si>
    <t>1422815</t>
  </si>
  <si>
    <t>571486</t>
  </si>
  <si>
    <t>JIRON VICTOR RAUL YANAGALI CASTRO S/N</t>
  </si>
  <si>
    <t>LG</t>
  </si>
  <si>
    <t>HOSPITAL</t>
  </si>
  <si>
    <t>LS</t>
  </si>
  <si>
    <t>I</t>
  </si>
  <si>
    <t>429-24</t>
  </si>
  <si>
    <t>1422823</t>
  </si>
  <si>
    <t>571491</t>
  </si>
  <si>
    <t>JIRON LOS ROSALES S/N</t>
  </si>
  <si>
    <t>LGU</t>
  </si>
  <si>
    <t>CASTRO PAMPA</t>
  </si>
  <si>
    <t>TR</t>
  </si>
  <si>
    <t>Total tardanza</t>
  </si>
  <si>
    <t>Coord. Adm.</t>
  </si>
  <si>
    <t>429-25</t>
  </si>
  <si>
    <t>1422831</t>
  </si>
  <si>
    <t>571504</t>
  </si>
  <si>
    <t>SAN JUAN DE MIRAFLORES</t>
  </si>
  <si>
    <t>429-26</t>
  </si>
  <si>
    <t>1422849</t>
  </si>
  <si>
    <t>571518</t>
  </si>
  <si>
    <t>CULLUCHACA</t>
  </si>
  <si>
    <t>429-27</t>
  </si>
  <si>
    <t>1422856</t>
  </si>
  <si>
    <t>571523</t>
  </si>
  <si>
    <t>VISTA ALEGRE</t>
  </si>
  <si>
    <t>429-28</t>
  </si>
  <si>
    <t>1422864</t>
  </si>
  <si>
    <t>571537</t>
  </si>
  <si>
    <t xml:space="preserve">MENSUAL </t>
  </si>
  <si>
    <t>CHURUNMARCA</t>
  </si>
  <si>
    <t>429-29</t>
  </si>
  <si>
    <t>1422872</t>
  </si>
  <si>
    <t>571542</t>
  </si>
  <si>
    <t>PATASUCRO</t>
  </si>
  <si>
    <t>429-30</t>
  </si>
  <si>
    <t>1422880</t>
  </si>
  <si>
    <t>571556</t>
  </si>
  <si>
    <t>PUCARAQAY</t>
  </si>
  <si>
    <t>429-31</t>
  </si>
  <si>
    <t>1422898</t>
  </si>
  <si>
    <t>571561</t>
  </si>
  <si>
    <t>NOA</t>
  </si>
  <si>
    <t>429-32</t>
  </si>
  <si>
    <t>1422906</t>
  </si>
  <si>
    <t>571575</t>
  </si>
  <si>
    <t>PUCACOLPA</t>
  </si>
  <si>
    <t>POCACOLPA</t>
  </si>
  <si>
    <t>429-33</t>
  </si>
  <si>
    <t>1422914</t>
  </si>
  <si>
    <t>571580</t>
  </si>
  <si>
    <t>SACHABAMBA</t>
  </si>
  <si>
    <t>429-34</t>
  </si>
  <si>
    <t>1422922</t>
  </si>
  <si>
    <t>571599</t>
  </si>
  <si>
    <t>QOCHAQ</t>
  </si>
  <si>
    <t>QOCHACC</t>
  </si>
  <si>
    <t>429-35</t>
  </si>
  <si>
    <t>1422930</t>
  </si>
  <si>
    <t>571603</t>
  </si>
  <si>
    <t>HUARCATAN</t>
  </si>
  <si>
    <t>429-36</t>
  </si>
  <si>
    <t>1422948</t>
  </si>
  <si>
    <t>571617</t>
  </si>
  <si>
    <t>CHOQLLO</t>
  </si>
  <si>
    <t>CHOCCLLO</t>
  </si>
  <si>
    <t>429-37</t>
  </si>
  <si>
    <t>1422955</t>
  </si>
  <si>
    <t>571622</t>
  </si>
  <si>
    <t>LLAQTAPATA</t>
  </si>
  <si>
    <t>LLACTAPATA</t>
  </si>
  <si>
    <t>429-38</t>
  </si>
  <si>
    <t>1422963</t>
  </si>
  <si>
    <t>571636</t>
  </si>
  <si>
    <t>AYAHUANCO</t>
  </si>
  <si>
    <t>429-39</t>
  </si>
  <si>
    <t>1422971</t>
  </si>
  <si>
    <t>571641</t>
  </si>
  <si>
    <t>PAMPA CORIS</t>
  </si>
  <si>
    <t>429-147</t>
  </si>
  <si>
    <t>1435312</t>
  </si>
  <si>
    <t>576380</t>
  </si>
  <si>
    <t>CHONGOS CARMEN PAMPA</t>
  </si>
  <si>
    <t>429-99</t>
  </si>
  <si>
    <t>1436740</t>
  </si>
  <si>
    <t>577902</t>
  </si>
  <si>
    <t>UNION MANTARO</t>
  </si>
  <si>
    <t>PALMAPAMPA</t>
  </si>
  <si>
    <t>429-89</t>
  </si>
  <si>
    <t>1436757</t>
  </si>
  <si>
    <t>577898</t>
  </si>
  <si>
    <t>BALSAMUYOCC</t>
  </si>
  <si>
    <t>CIST</t>
  </si>
  <si>
    <t>429-85 FE Y ALEGRIA</t>
  </si>
  <si>
    <t>1469196</t>
  </si>
  <si>
    <t>596774</t>
  </si>
  <si>
    <t>UNION SAN MIGUEL</t>
  </si>
  <si>
    <t>429-129</t>
  </si>
  <si>
    <t>1469188</t>
  </si>
  <si>
    <t>596769</t>
  </si>
  <si>
    <t>PARIZA AYCAS</t>
  </si>
  <si>
    <t>PARIZA</t>
  </si>
  <si>
    <t>LUTHER KING SCHOOL</t>
  </si>
  <si>
    <t>1525963</t>
  </si>
  <si>
    <t>559385</t>
  </si>
  <si>
    <t>AVENIDA SAN MARTIN 617 - 625</t>
  </si>
  <si>
    <t>JOHANNES GUTENBERG</t>
  </si>
  <si>
    <t>1538925</t>
  </si>
  <si>
    <t>607517</t>
  </si>
  <si>
    <t>AVENIDA CARLOS CH HIRAOKA S/N</t>
  </si>
  <si>
    <t>CHILLICOPAMPA</t>
  </si>
  <si>
    <t>429-84</t>
  </si>
  <si>
    <t>1540343</t>
  </si>
  <si>
    <t>626771</t>
  </si>
  <si>
    <t>CORONEL PORTILLO</t>
  </si>
  <si>
    <t>CESAR VALLEJO</t>
  </si>
  <si>
    <t>1541093</t>
  </si>
  <si>
    <t>559366</t>
  </si>
  <si>
    <t>JIRON NAVALA HUACHACA 155</t>
  </si>
  <si>
    <t>JOSE MARTI</t>
  </si>
  <si>
    <t>1541929</t>
  </si>
  <si>
    <t>556532</t>
  </si>
  <si>
    <t>429-140</t>
  </si>
  <si>
    <t>1562255</t>
  </si>
  <si>
    <t>637388</t>
  </si>
  <si>
    <t>SAN FRANCISCO DE ASIS DE PALLCCA</t>
  </si>
  <si>
    <t>PALLCA</t>
  </si>
  <si>
    <t>429-137</t>
  </si>
  <si>
    <t>1562248</t>
  </si>
  <si>
    <t>637294</t>
  </si>
  <si>
    <t>CHINCHAY</t>
  </si>
  <si>
    <t>429-86</t>
  </si>
  <si>
    <t>1562222</t>
  </si>
  <si>
    <t>637171</t>
  </si>
  <si>
    <t>SANABAMBA</t>
  </si>
  <si>
    <t>429-87</t>
  </si>
  <si>
    <t>1566207</t>
  </si>
  <si>
    <t>639434</t>
  </si>
  <si>
    <t>PULPITO ALTO</t>
  </si>
  <si>
    <t>429-88</t>
  </si>
  <si>
    <t>1572601</t>
  </si>
  <si>
    <t>645538</t>
  </si>
  <si>
    <t>SANTA TERESA ALTA</t>
  </si>
  <si>
    <t>429-90</t>
  </si>
  <si>
    <t>1577907</t>
  </si>
  <si>
    <t>650030</t>
  </si>
  <si>
    <t>PALOMA ALEGRE</t>
  </si>
  <si>
    <t>429-91</t>
  </si>
  <si>
    <t>1577915</t>
  </si>
  <si>
    <t>650049</t>
  </si>
  <si>
    <t>LA LIBERTAD</t>
  </si>
  <si>
    <t>429-92</t>
  </si>
  <si>
    <t>1577923</t>
  </si>
  <si>
    <t>650167</t>
  </si>
  <si>
    <t>HUAYHUAS</t>
  </si>
  <si>
    <t>429-93</t>
  </si>
  <si>
    <t>1577931</t>
  </si>
  <si>
    <t>650172</t>
  </si>
  <si>
    <t>VILLA FLORIDA</t>
  </si>
  <si>
    <t>429-94</t>
  </si>
  <si>
    <t>1577949</t>
  </si>
  <si>
    <t>650186</t>
  </si>
  <si>
    <t>QUISPICANCHA</t>
  </si>
  <si>
    <t>429-95</t>
  </si>
  <si>
    <t>1577956</t>
  </si>
  <si>
    <t>650191</t>
  </si>
  <si>
    <t>TENERIA</t>
  </si>
  <si>
    <t>Psicólogo</t>
  </si>
  <si>
    <t>429-96</t>
  </si>
  <si>
    <t>1577964</t>
  </si>
  <si>
    <t>650209</t>
  </si>
  <si>
    <t>LA VEGA</t>
  </si>
  <si>
    <t>429-98</t>
  </si>
  <si>
    <t>1577980</t>
  </si>
  <si>
    <t>080563</t>
  </si>
  <si>
    <t>AVENIDA CARLOS CH HIRAHOCA S/N</t>
  </si>
  <si>
    <t>INTAY</t>
  </si>
  <si>
    <t>429-97</t>
  </si>
  <si>
    <t>1577972</t>
  </si>
  <si>
    <t>650214</t>
  </si>
  <si>
    <t>JATUNHUASI</t>
  </si>
  <si>
    <t>429-100</t>
  </si>
  <si>
    <t>1589829</t>
  </si>
  <si>
    <t>661321</t>
  </si>
  <si>
    <t>JAUCAN S/N</t>
  </si>
  <si>
    <t>JAUCAN</t>
  </si>
  <si>
    <t>429-101</t>
  </si>
  <si>
    <t>1589837</t>
  </si>
  <si>
    <t>661335</t>
  </si>
  <si>
    <t>LUICHUPATA S/N</t>
  </si>
  <si>
    <t>LUICHUPATA</t>
  </si>
  <si>
    <t>429-102</t>
  </si>
  <si>
    <t>1589845</t>
  </si>
  <si>
    <t>661340</t>
  </si>
  <si>
    <t>PUTACCA S/N</t>
  </si>
  <si>
    <t>PUTACA</t>
  </si>
  <si>
    <t>429-103</t>
  </si>
  <si>
    <t>1589852</t>
  </si>
  <si>
    <t>661359</t>
  </si>
  <si>
    <t>TAMBOBAMBA S/N</t>
  </si>
  <si>
    <t>TAMBOBAMBA</t>
  </si>
  <si>
    <t>429-104</t>
  </si>
  <si>
    <t>1589860</t>
  </si>
  <si>
    <t>661364</t>
  </si>
  <si>
    <t>TANCAR S/N</t>
  </si>
  <si>
    <t>TANCAR</t>
  </si>
  <si>
    <t>429-105</t>
  </si>
  <si>
    <t>1589878</t>
  </si>
  <si>
    <t>661378</t>
  </si>
  <si>
    <t>VISTA ALEGRE S/N</t>
  </si>
  <si>
    <t>429-106</t>
  </si>
  <si>
    <t>1589886</t>
  </si>
  <si>
    <t>661383</t>
  </si>
  <si>
    <t>CHULLCUPAMPA S/N</t>
  </si>
  <si>
    <t>CHULLCUPAMPA</t>
  </si>
  <si>
    <t>Apoyo Educativo</t>
  </si>
  <si>
    <t>429-108</t>
  </si>
  <si>
    <t>1589902</t>
  </si>
  <si>
    <t>661401</t>
  </si>
  <si>
    <t>CANRAO S/N</t>
  </si>
  <si>
    <t>CANRAO</t>
  </si>
  <si>
    <t>429-110</t>
  </si>
  <si>
    <t>1589910</t>
  </si>
  <si>
    <t>661415</t>
  </si>
  <si>
    <t>CUNYA S/N</t>
  </si>
  <si>
    <t>CUNYA</t>
  </si>
  <si>
    <t>429-111</t>
  </si>
  <si>
    <t>1589928</t>
  </si>
  <si>
    <t>661420</t>
  </si>
  <si>
    <t>HUANTACHACA S/N</t>
  </si>
  <si>
    <t>HUANTACHACA</t>
  </si>
  <si>
    <t>429-113</t>
  </si>
  <si>
    <t>1589936</t>
  </si>
  <si>
    <t>661439</t>
  </si>
  <si>
    <t>TAHUACCOCHA S/N</t>
  </si>
  <si>
    <t>TAHUACCOCHA</t>
  </si>
  <si>
    <t>429-115</t>
  </si>
  <si>
    <t>1589944</t>
  </si>
  <si>
    <t>661444</t>
  </si>
  <si>
    <t>NUEVA UNION PITEC S/N</t>
  </si>
  <si>
    <t>NUEVA UNION PITEC</t>
  </si>
  <si>
    <t>429-116</t>
  </si>
  <si>
    <t>1589951</t>
  </si>
  <si>
    <t>661458</t>
  </si>
  <si>
    <t>ASHANINKA ANATO S/N</t>
  </si>
  <si>
    <t>ASHANINKA ANATO</t>
  </si>
  <si>
    <t>429-117</t>
  </si>
  <si>
    <t>1589969</t>
  </si>
  <si>
    <t>661463</t>
  </si>
  <si>
    <t>BUENOS AIRES S/N</t>
  </si>
  <si>
    <t>BUENOS AIRES</t>
  </si>
  <si>
    <t>429-122</t>
  </si>
  <si>
    <t>1589977</t>
  </si>
  <si>
    <t>661477</t>
  </si>
  <si>
    <t>NUEVA ESPERANZA ALTA S/N</t>
  </si>
  <si>
    <t>NUEVA ESPERANZA ALTA</t>
  </si>
  <si>
    <t>Pers. Mantenim.</t>
  </si>
  <si>
    <t>429-124</t>
  </si>
  <si>
    <t>1589985</t>
  </si>
  <si>
    <t>661482</t>
  </si>
  <si>
    <t>VILLA PROGRESO S/N</t>
  </si>
  <si>
    <t>VILLA PROGRESO</t>
  </si>
  <si>
    <t>429-125</t>
  </si>
  <si>
    <t>1589993</t>
  </si>
  <si>
    <t>661496</t>
  </si>
  <si>
    <t>AZANGARO S/N</t>
  </si>
  <si>
    <t>AZANGARO</t>
  </si>
  <si>
    <t>429-126</t>
  </si>
  <si>
    <t>1590009</t>
  </si>
  <si>
    <t>661509</t>
  </si>
  <si>
    <t>CHAMANA S/N</t>
  </si>
  <si>
    <t>CHAMANA</t>
  </si>
  <si>
    <t>429-128</t>
  </si>
  <si>
    <t>1599224</t>
  </si>
  <si>
    <t>666192</t>
  </si>
  <si>
    <t>PARQUE NUEVO PROGRESO S/N</t>
  </si>
  <si>
    <t>429-130</t>
  </si>
  <si>
    <t>1599232</t>
  </si>
  <si>
    <t>666205</t>
  </si>
  <si>
    <t>PICHIURARA S/N</t>
  </si>
  <si>
    <t>PICHIURARA</t>
  </si>
  <si>
    <t>429-131 CORAZON DE GUADALUPE</t>
  </si>
  <si>
    <t>1599240</t>
  </si>
  <si>
    <t>666210</t>
  </si>
  <si>
    <t>SAN PEDRO DE PAMPAY S/N</t>
  </si>
  <si>
    <t>PAMPAY</t>
  </si>
  <si>
    <t>429-133</t>
  </si>
  <si>
    <t>1599257</t>
  </si>
  <si>
    <t>666229</t>
  </si>
  <si>
    <t>SIMPAYHUASI S/N</t>
  </si>
  <si>
    <t>SIMPAYHUASI</t>
  </si>
  <si>
    <t>429-151</t>
  </si>
  <si>
    <t>1599281</t>
  </si>
  <si>
    <t>666253</t>
  </si>
  <si>
    <t>NUEVA ALIANZA S/N</t>
  </si>
  <si>
    <t>NUEVA ALIANZA</t>
  </si>
  <si>
    <t>429-153</t>
  </si>
  <si>
    <t>1599299</t>
  </si>
  <si>
    <t>666267</t>
  </si>
  <si>
    <t>PAMPAHUASI S/N</t>
  </si>
  <si>
    <t>PAMPAHUASI</t>
  </si>
  <si>
    <t>429-118</t>
  </si>
  <si>
    <t>1599190</t>
  </si>
  <si>
    <t>666168</t>
  </si>
  <si>
    <t>CAUDALOZA S/N</t>
  </si>
  <si>
    <t>CAUDALOZA</t>
  </si>
  <si>
    <t>429-120</t>
  </si>
  <si>
    <t>1599208</t>
  </si>
  <si>
    <t>666173</t>
  </si>
  <si>
    <t>KAPASHIARI S/N</t>
  </si>
  <si>
    <t>KAPASHIARI</t>
  </si>
  <si>
    <t>429-123</t>
  </si>
  <si>
    <t>1599216</t>
  </si>
  <si>
    <t>666187</t>
  </si>
  <si>
    <t>SAN JUAN MEJORADA S/N</t>
  </si>
  <si>
    <t>SAN JUAN MEJORADA</t>
  </si>
  <si>
    <t>429-136</t>
  </si>
  <si>
    <t>1599265</t>
  </si>
  <si>
    <t>666234</t>
  </si>
  <si>
    <t>CCORIRUPAY MASINGANA</t>
  </si>
  <si>
    <t>MASINGANA</t>
  </si>
  <si>
    <t>429-144</t>
  </si>
  <si>
    <t>1599273</t>
  </si>
  <si>
    <t>666248</t>
  </si>
  <si>
    <t>CAPOTE</t>
  </si>
  <si>
    <t>429-132</t>
  </si>
  <si>
    <t>1617927</t>
  </si>
  <si>
    <t>683257</t>
  </si>
  <si>
    <t>SANTA ROSA DE OCANA</t>
  </si>
  <si>
    <t>OCANA</t>
  </si>
  <si>
    <t>429-109</t>
  </si>
  <si>
    <t>1617935</t>
  </si>
  <si>
    <t>683262</t>
  </si>
  <si>
    <t>CHUYAS</t>
  </si>
  <si>
    <t>429-112</t>
  </si>
  <si>
    <t>1617943</t>
  </si>
  <si>
    <t>683276</t>
  </si>
  <si>
    <t>ROSARIO SANTILLANA</t>
  </si>
  <si>
    <t>429-134</t>
  </si>
  <si>
    <t>1617950</t>
  </si>
  <si>
    <t>683281</t>
  </si>
  <si>
    <t>YURACCRACCAY</t>
  </si>
  <si>
    <t>429-114</t>
  </si>
  <si>
    <t>1617976</t>
  </si>
  <si>
    <t>683304</t>
  </si>
  <si>
    <t>CHIGUA</t>
  </si>
  <si>
    <t>CHIHUA/CHIGUA</t>
  </si>
  <si>
    <t>429-121</t>
  </si>
  <si>
    <t>1617984</t>
  </si>
  <si>
    <t>683318</t>
  </si>
  <si>
    <t>MAMA SAN CRISTOBAL</t>
  </si>
  <si>
    <t>SAN CRISTOBAL</t>
  </si>
  <si>
    <t>429-127</t>
  </si>
  <si>
    <t>1617992</t>
  </si>
  <si>
    <t>683323</t>
  </si>
  <si>
    <t>IRIBAMBA</t>
  </si>
  <si>
    <t>FUNDO IRIBAMBA</t>
  </si>
  <si>
    <t>429-138</t>
  </si>
  <si>
    <t>1618008</t>
  </si>
  <si>
    <t>683337</t>
  </si>
  <si>
    <t>CHOQEWICHQA</t>
  </si>
  <si>
    <t>429-139</t>
  </si>
  <si>
    <t>1618016</t>
  </si>
  <si>
    <t>683342</t>
  </si>
  <si>
    <t>RODEO</t>
  </si>
  <si>
    <t>429-141</t>
  </si>
  <si>
    <t>1618024</t>
  </si>
  <si>
    <t>683356</t>
  </si>
  <si>
    <t>SAN JUAN DE HUANCAS</t>
  </si>
  <si>
    <t>429-142</t>
  </si>
  <si>
    <t>1618032</t>
  </si>
  <si>
    <t>683361</t>
  </si>
  <si>
    <t>SAN JUAN DE PARCCORA</t>
  </si>
  <si>
    <t>429-145</t>
  </si>
  <si>
    <t>1618057</t>
  </si>
  <si>
    <t>683380</t>
  </si>
  <si>
    <t>CASERVINESUR</t>
  </si>
  <si>
    <t>429-146</t>
  </si>
  <si>
    <t>1618065</t>
  </si>
  <si>
    <t>683399</t>
  </si>
  <si>
    <t>CHOLA HUAYRAPATA</t>
  </si>
  <si>
    <t>CHOLA HUAYRAPATA / CHOLA VALDIVIA</t>
  </si>
  <si>
    <t>429-148</t>
  </si>
  <si>
    <t>1618073</t>
  </si>
  <si>
    <t>683403</t>
  </si>
  <si>
    <t>COMPAÑIA ALTA</t>
  </si>
  <si>
    <t>429-149</t>
  </si>
  <si>
    <t>1618081</t>
  </si>
  <si>
    <t>683417</t>
  </si>
  <si>
    <t>COMPAÑIA BAJA</t>
  </si>
  <si>
    <t>429-150</t>
  </si>
  <si>
    <t>1618099</t>
  </si>
  <si>
    <t>683422</t>
  </si>
  <si>
    <t>NAZARETH ALTA</t>
  </si>
  <si>
    <t>429-154</t>
  </si>
  <si>
    <t>1618107</t>
  </si>
  <si>
    <t>683436</t>
  </si>
  <si>
    <t>RAMOS PAMPA</t>
  </si>
  <si>
    <t>429-155</t>
  </si>
  <si>
    <t>1618115</t>
  </si>
  <si>
    <t>683441</t>
  </si>
  <si>
    <t>TORRE RUMI</t>
  </si>
  <si>
    <t>429-119</t>
  </si>
  <si>
    <t>1623636</t>
  </si>
  <si>
    <t>690408</t>
  </si>
  <si>
    <t>CHONGOS</t>
  </si>
  <si>
    <t>38256 MARIA URRIBARRI GOMEZ</t>
  </si>
  <si>
    <t>1636257</t>
  </si>
  <si>
    <t>079376</t>
  </si>
  <si>
    <t>JIRON JOSE FELIX IGUAIN 269</t>
  </si>
  <si>
    <t>38266 NUESTRA SEÑORA DE LAS MERCEDES</t>
  </si>
  <si>
    <t>1636265</t>
  </si>
  <si>
    <t>079456</t>
  </si>
  <si>
    <t>JIRON OSWALDO N REGAL S/N</t>
  </si>
  <si>
    <t>39013 CLARA CASTILLO DE GAYOZZO</t>
  </si>
  <si>
    <t>1636273</t>
  </si>
  <si>
    <t>079908</t>
  </si>
  <si>
    <t>JIRON FREDDY VALLADARES 205</t>
  </si>
  <si>
    <t>429-157</t>
  </si>
  <si>
    <t>1650571</t>
  </si>
  <si>
    <t>733144</t>
  </si>
  <si>
    <t>CERCAN S/N</t>
  </si>
  <si>
    <t>CERCAN</t>
  </si>
  <si>
    <t>429-158</t>
  </si>
  <si>
    <t>1650589</t>
  </si>
  <si>
    <t>733158</t>
  </si>
  <si>
    <t>CINTIARO S/N</t>
  </si>
  <si>
    <t>CINTIARO</t>
  </si>
  <si>
    <t>429-159</t>
  </si>
  <si>
    <t>1650597</t>
  </si>
  <si>
    <t>733163</t>
  </si>
  <si>
    <t>LAMBRAS S/N</t>
  </si>
  <si>
    <t>LAMBRAS</t>
  </si>
  <si>
    <t>429-160</t>
  </si>
  <si>
    <t>1650605</t>
  </si>
  <si>
    <t>733177</t>
  </si>
  <si>
    <t>24 DE JUNIO S/N</t>
  </si>
  <si>
    <t>24 DE JUNIO</t>
  </si>
  <si>
    <t>38328</t>
  </si>
  <si>
    <t>1650613</t>
  </si>
  <si>
    <t>080351</t>
  </si>
  <si>
    <t>QUITURARA</t>
  </si>
  <si>
    <t>38918</t>
  </si>
  <si>
    <t>1650621</t>
  </si>
  <si>
    <t>079809</t>
  </si>
  <si>
    <t>CHUQUI</t>
  </si>
  <si>
    <t>38329 ANDRES HUAMAN PEREZ</t>
  </si>
  <si>
    <t>1650639</t>
  </si>
  <si>
    <t>080365</t>
  </si>
  <si>
    <t>YANAPAMPA</t>
  </si>
  <si>
    <t>38604</t>
  </si>
  <si>
    <t>1650647</t>
  </si>
  <si>
    <t>080515</t>
  </si>
  <si>
    <t>CANGARI S/N</t>
  </si>
  <si>
    <t>CANGARI</t>
  </si>
  <si>
    <t>38268</t>
  </si>
  <si>
    <t>1650654</t>
  </si>
  <si>
    <t>561152</t>
  </si>
  <si>
    <t>AVENIDA QUINACHO S/N</t>
  </si>
  <si>
    <t>38881</t>
  </si>
  <si>
    <t>1650662</t>
  </si>
  <si>
    <t>079791</t>
  </si>
  <si>
    <t>LLAQLLAN</t>
  </si>
  <si>
    <t>LLACLLAN</t>
  </si>
  <si>
    <t>38263 NUESTRA SEÑORA DEL ROSARIO</t>
  </si>
  <si>
    <t>1650670</t>
  </si>
  <si>
    <t>079442</t>
  </si>
  <si>
    <t>PROLONGACION RAZUHUILLCA</t>
  </si>
  <si>
    <t>SOCCOSCCOCHA</t>
  </si>
  <si>
    <t>38362</t>
  </si>
  <si>
    <t>1650688</t>
  </si>
  <si>
    <t>477399</t>
  </si>
  <si>
    <t>PLAZA PRINCIPAL S/N</t>
  </si>
  <si>
    <t>ISTO</t>
  </si>
  <si>
    <t>38990-17</t>
  </si>
  <si>
    <t>1650696</t>
  </si>
  <si>
    <t>556216</t>
  </si>
  <si>
    <t>38854</t>
  </si>
  <si>
    <t>1650704</t>
  </si>
  <si>
    <t>080025</t>
  </si>
  <si>
    <t>TANAHUASI</t>
  </si>
  <si>
    <t>38774</t>
  </si>
  <si>
    <t>1650712</t>
  </si>
  <si>
    <t>505439</t>
  </si>
  <si>
    <t>CCOCHACHIN</t>
  </si>
  <si>
    <t>38597</t>
  </si>
  <si>
    <t>1650720</t>
  </si>
  <si>
    <t>717573</t>
  </si>
  <si>
    <t>CASERVINE NORTE</t>
  </si>
  <si>
    <t>429-156</t>
  </si>
  <si>
    <t>1651082</t>
  </si>
  <si>
    <t>733399</t>
  </si>
  <si>
    <t>429-169</t>
  </si>
  <si>
    <t>1685353</t>
  </si>
  <si>
    <t>769623</t>
  </si>
  <si>
    <t>CCOLLANA</t>
  </si>
  <si>
    <t>429-172</t>
  </si>
  <si>
    <t>1685361</t>
  </si>
  <si>
    <t>769637</t>
  </si>
  <si>
    <t>NOVILLO CCASA</t>
  </si>
  <si>
    <t>429-161</t>
  </si>
  <si>
    <t>1685379</t>
  </si>
  <si>
    <t>842124</t>
  </si>
  <si>
    <t>CCOCHAC</t>
  </si>
  <si>
    <t>CCOCHACC</t>
  </si>
  <si>
    <t>429-162</t>
  </si>
  <si>
    <t>1685387</t>
  </si>
  <si>
    <t>769656</t>
  </si>
  <si>
    <t>PAQUEC</t>
  </si>
  <si>
    <t>429-163</t>
  </si>
  <si>
    <t>1685395</t>
  </si>
  <si>
    <t>769661</t>
  </si>
  <si>
    <t>SAN LUIS</t>
  </si>
  <si>
    <t>429-164</t>
  </si>
  <si>
    <t>1685403</t>
  </si>
  <si>
    <t>769675</t>
  </si>
  <si>
    <t>CHULA</t>
  </si>
  <si>
    <t>429-165</t>
  </si>
  <si>
    <t>1685411</t>
  </si>
  <si>
    <t>769680</t>
  </si>
  <si>
    <t>TAMBOPACOCHA</t>
  </si>
  <si>
    <t>429-166</t>
  </si>
  <si>
    <t>1685429</t>
  </si>
  <si>
    <t>769699</t>
  </si>
  <si>
    <t>ICHUPATA</t>
  </si>
  <si>
    <t>429-167</t>
  </si>
  <si>
    <t>1685437</t>
  </si>
  <si>
    <t>769703</t>
  </si>
  <si>
    <t>429-168</t>
  </si>
  <si>
    <t>1685445</t>
  </si>
  <si>
    <t>842379</t>
  </si>
  <si>
    <t>MATUCANA ALTA</t>
  </si>
  <si>
    <t>429-171</t>
  </si>
  <si>
    <t>1685460</t>
  </si>
  <si>
    <t>769736</t>
  </si>
  <si>
    <t>ACON</t>
  </si>
  <si>
    <t>429-173</t>
  </si>
  <si>
    <t>1685478</t>
  </si>
  <si>
    <t>769741</t>
  </si>
  <si>
    <t>GLORIA PATA</t>
  </si>
  <si>
    <t>429-174</t>
  </si>
  <si>
    <t>1685486</t>
  </si>
  <si>
    <t>769755</t>
  </si>
  <si>
    <t>ICHPICO</t>
  </si>
  <si>
    <t>429-175</t>
  </si>
  <si>
    <t>1685494</t>
  </si>
  <si>
    <t>769760</t>
  </si>
  <si>
    <t>CHANCARAY</t>
  </si>
  <si>
    <t>429-176 MADRE TERESA DE CALCUTA</t>
  </si>
  <si>
    <t>1704741</t>
  </si>
  <si>
    <t>079814</t>
  </si>
  <si>
    <t>PASAJE BELLAVISTA S/N</t>
  </si>
  <si>
    <t>IRENE GIRON DE RIVEROS</t>
  </si>
  <si>
    <t>1719251</t>
  </si>
  <si>
    <t>079387</t>
  </si>
  <si>
    <t>JIRON GERVASIO SANTILLANA S/N</t>
  </si>
  <si>
    <t>38967</t>
  </si>
  <si>
    <t>1731793</t>
  </si>
  <si>
    <t>757286</t>
  </si>
  <si>
    <t>NUEVA MARAVILLA</t>
  </si>
  <si>
    <t>38861</t>
  </si>
  <si>
    <t>1732015</t>
  </si>
  <si>
    <t>515853</t>
  </si>
  <si>
    <t>GRANJA SIVIA</t>
  </si>
  <si>
    <t>BUNGE</t>
  </si>
  <si>
    <t>1759257</t>
  </si>
  <si>
    <t>080068</t>
  </si>
  <si>
    <t>AVENIDA ANDRES AVELINO CACERES 406</t>
  </si>
  <si>
    <t>REY DE REYES</t>
  </si>
  <si>
    <t>1766807</t>
  </si>
  <si>
    <t>590475</t>
  </si>
  <si>
    <t>JIRON IRENE SAAVEDRA VILA 235</t>
  </si>
  <si>
    <t>LEYENDA:</t>
  </si>
  <si>
    <t>LUGAR Y FECHA:</t>
  </si>
  <si>
    <t>A</t>
  </si>
  <si>
    <t>C</t>
  </si>
  <si>
    <t>ASISTENCIA</t>
  </si>
  <si>
    <t>L</t>
  </si>
  <si>
    <t>INASISTENCIA INJUSTIFICADA</t>
  </si>
  <si>
    <t>DESTACADO (A)</t>
  </si>
  <si>
    <t>F</t>
  </si>
  <si>
    <t>INASISTENCIA JUSTIFICADA (FERIADO, ONOMASTICO, VACACIONES, COMISION DE SERVICIO)</t>
  </si>
  <si>
    <t>T</t>
  </si>
  <si>
    <t>TARDANZA EN MINUTOS (DIGITACION EN NUMEROS)</t>
  </si>
  <si>
    <t>DIRECTOR (A) DE LA I.E.</t>
  </si>
  <si>
    <t xml:space="preserve">LICENCIA SIN GOCE DE REMUNERACIONES </t>
  </si>
  <si>
    <t xml:space="preserve">LICENCIA CON GOCE DE REMUNERACIONES </t>
  </si>
  <si>
    <t>P</t>
  </si>
  <si>
    <t>PERMISO SIN GOCE DE REMUNERACIONES</t>
  </si>
  <si>
    <t>H</t>
  </si>
  <si>
    <t>HUELGA O PARO</t>
  </si>
  <si>
    <t>FERIADO</t>
  </si>
  <si>
    <t>** Adicionado por la UGEL SAN ROMÁN</t>
  </si>
  <si>
    <t>(*)Hora y minuto cronológico.</t>
  </si>
  <si>
    <t>(**)Solo considerar las inasistencias que no han sido justificadas.</t>
  </si>
  <si>
    <t>NOMBRADO (A)</t>
  </si>
  <si>
    <t>CONTRATADO (A)</t>
  </si>
  <si>
    <t>MESES</t>
  </si>
  <si>
    <t>ENERO</t>
  </si>
  <si>
    <t>Lu.</t>
  </si>
  <si>
    <t>FEBRERO</t>
  </si>
  <si>
    <t>M</t>
  </si>
  <si>
    <t>Ma.</t>
  </si>
  <si>
    <t>Mi</t>
  </si>
  <si>
    <t>Mi.</t>
  </si>
  <si>
    <t>ABRIL</t>
  </si>
  <si>
    <t>Ju.</t>
  </si>
  <si>
    <t>MAYO</t>
  </si>
  <si>
    <t>V</t>
  </si>
  <si>
    <t>Vi.</t>
  </si>
  <si>
    <t>JUNIO</t>
  </si>
  <si>
    <t>S</t>
  </si>
  <si>
    <t>Sa.</t>
  </si>
  <si>
    <t>JULIO</t>
  </si>
  <si>
    <t>D</t>
  </si>
  <si>
    <t>Do.</t>
  </si>
  <si>
    <t>AGOSTO</t>
  </si>
  <si>
    <t>SEPTIEMBRE</t>
  </si>
  <si>
    <t>OCTUBRE</t>
  </si>
  <si>
    <t>NOVIEMBRE</t>
  </si>
  <si>
    <t>DICIEMBRE</t>
  </si>
  <si>
    <r>
      <rPr>
        <rFont val="Arial"/>
        <b/>
        <color theme="1"/>
        <sz val="10.0"/>
      </rPr>
      <t xml:space="preserve">(*) </t>
    </r>
    <r>
      <rPr>
        <rFont val="Arial"/>
        <b val="0"/>
        <color theme="1"/>
        <sz val="10.0"/>
      </rPr>
      <t>No se considera los días feriados</t>
    </r>
  </si>
  <si>
    <t>LEYENDA</t>
  </si>
  <si>
    <r>
      <rPr>
        <rFont val="Arial"/>
        <b/>
        <color theme="1"/>
        <sz val="10.0"/>
      </rPr>
      <t xml:space="preserve">J: </t>
    </r>
    <r>
      <rPr>
        <rFont val="Arial"/>
        <b val="0"/>
        <color theme="1"/>
        <sz val="10.0"/>
      </rPr>
      <t>Falta justificada</t>
    </r>
  </si>
  <si>
    <t>Nivel Inicial : 1 dia : 5 horas</t>
  </si>
  <si>
    <r>
      <rPr>
        <rFont val="Arial"/>
        <b/>
        <color theme="1"/>
        <sz val="10.0"/>
      </rPr>
      <t xml:space="preserve">I: </t>
    </r>
    <r>
      <rPr>
        <rFont val="Arial"/>
        <b val="0"/>
        <color theme="1"/>
        <sz val="10.0"/>
      </rPr>
      <t>Falta Injustificada</t>
    </r>
  </si>
  <si>
    <t>Nivel Primaria : 1 día : 6 horas</t>
  </si>
  <si>
    <r>
      <rPr>
        <rFont val="Arial"/>
        <b/>
        <color theme="1"/>
        <sz val="10.0"/>
      </rPr>
      <t xml:space="preserve">F: </t>
    </r>
    <r>
      <rPr>
        <rFont val="Arial"/>
        <b val="0"/>
        <color theme="1"/>
        <sz val="10.0"/>
      </rPr>
      <t>Dia Feriado</t>
    </r>
  </si>
  <si>
    <t>Nivel Secundaria :1 día : 7 horas</t>
  </si>
  <si>
    <r>
      <rPr>
        <rFont val="Arial"/>
        <b/>
        <color theme="1"/>
        <sz val="10.0"/>
      </rPr>
      <t xml:space="preserve">CRT: </t>
    </r>
    <r>
      <rPr>
        <rFont val="Arial"/>
        <b val="0"/>
        <color theme="1"/>
        <sz val="10.0"/>
      </rPr>
      <t>Centro de Recursos Tecnológicos</t>
    </r>
  </si>
  <si>
    <r>
      <rPr>
        <rFont val="Arial"/>
        <b/>
        <color theme="1"/>
        <sz val="10.0"/>
      </rPr>
      <t xml:space="preserve">AIP: </t>
    </r>
    <r>
      <rPr>
        <rFont val="Arial"/>
        <b val="0"/>
        <color theme="1"/>
        <sz val="10.0"/>
      </rPr>
      <t>Aula de Innovación Pedagógica</t>
    </r>
  </si>
  <si>
    <r>
      <rPr>
        <rFont val="Arial"/>
        <b/>
        <color theme="1"/>
        <sz val="10.0"/>
      </rPr>
      <t xml:space="preserve">TQ: </t>
    </r>
    <r>
      <rPr>
        <rFont val="Arial"/>
        <b val="0"/>
        <color theme="1"/>
        <sz val="10.0"/>
      </rPr>
      <t>Taller de Quechua</t>
    </r>
  </si>
  <si>
    <r>
      <rPr>
        <rFont val="Arial"/>
        <b/>
        <color theme="1"/>
        <sz val="10.0"/>
      </rPr>
      <t xml:space="preserve">TD: </t>
    </r>
    <r>
      <rPr>
        <rFont val="Arial"/>
        <b val="0"/>
        <color theme="1"/>
        <sz val="10.0"/>
      </rPr>
      <t>Taller de Danza</t>
    </r>
  </si>
  <si>
    <t>DIRECTOR (A) DE INSTITUCIÓN EDUCATIVA</t>
  </si>
  <si>
    <t>V° B° REPRESENTANTE CONOEI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</si>
</sst>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000"/>
    <numFmt numFmtId="165" formatCode="d/m"/>
  </numFmts>
  <fonts count="39">
    <font>
      <sz val="11.0"/>
      <color theme="1"/>
      <name val="Calibri"/>
      <scheme val="minor"/>
    </font>
    <font>
      <sz val="10.0"/>
      <color theme="1"/>
      <name val="Century Gothic"/>
    </font>
    <font>
      <b/>
      <sz val="12.0"/>
      <color theme="1"/>
      <name val="Century Gothic"/>
    </font>
    <font>
      <b/>
      <sz val="10.0"/>
      <color theme="1"/>
      <name val="Arial"/>
    </font>
    <font>
      <b/>
      <sz val="10.0"/>
      <color theme="1"/>
      <name val="Century Gothic"/>
    </font>
    <font>
      <color theme="1"/>
      <name val="Calibri"/>
      <scheme val="minor"/>
    </font>
    <font>
      <sz val="10.0"/>
      <color theme="1"/>
      <name val="Arial"/>
    </font>
    <font>
      <b/>
      <sz val="14.0"/>
      <color theme="1"/>
      <name val="Century Gothic"/>
    </font>
    <font/>
    <font>
      <b/>
      <sz val="14.0"/>
      <color rgb="FFFF0000"/>
      <name val="Century Gothic"/>
    </font>
    <font>
      <b/>
      <sz val="12.0"/>
      <color theme="0"/>
      <name val="Century Gothic"/>
    </font>
    <font>
      <b/>
      <sz val="12.0"/>
      <color rgb="FFFF0000"/>
      <name val="Century Gothic"/>
    </font>
    <font>
      <b/>
      <sz val="14.0"/>
      <color theme="0"/>
      <name val="Century Gothic"/>
    </font>
    <font>
      <b/>
      <sz val="11.0"/>
      <color rgb="FFFF0000"/>
      <name val="Century Gothic"/>
    </font>
    <font>
      <b/>
      <sz val="16.0"/>
      <color rgb="FFFF0000"/>
      <name val="Century Gothic"/>
    </font>
    <font>
      <b/>
      <sz val="10.0"/>
      <color rgb="FFFF0000"/>
      <name val="Century Gothic"/>
    </font>
    <font>
      <sz val="12.0"/>
      <color theme="1"/>
      <name val="Century Gothic"/>
    </font>
    <font>
      <b/>
      <u/>
      <sz val="12.0"/>
      <color rgb="FF00B050"/>
      <name val="Century Gothic"/>
    </font>
    <font>
      <b/>
      <sz val="12.0"/>
      <color theme="1"/>
      <name val="Arial"/>
    </font>
    <font>
      <b/>
      <sz val="10.0"/>
      <color rgb="FF00B050"/>
      <name val="Arial"/>
    </font>
    <font>
      <sz val="12.0"/>
      <color theme="1"/>
      <name val="Arial"/>
    </font>
    <font>
      <b/>
      <sz val="9.0"/>
      <color rgb="FFFF0000"/>
      <name val="Century Gothic"/>
    </font>
    <font>
      <b/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1.0"/>
      <color theme="0"/>
      <name val="Calibri"/>
      <scheme val="minor"/>
    </font>
    <font>
      <sz val="9.0"/>
      <color theme="0"/>
      <name val="Calibri"/>
      <scheme val="minor"/>
    </font>
    <font>
      <b/>
      <sz val="10.0"/>
      <color theme="1"/>
      <name val="Arial Narrow"/>
    </font>
    <font>
      <b/>
      <sz val="9.0"/>
      <color theme="1"/>
      <name val="Arial Narrow"/>
    </font>
    <font>
      <sz val="9.0"/>
      <color theme="1"/>
      <name val="Arial"/>
    </font>
    <font>
      <b/>
      <sz val="11.0"/>
      <color theme="1"/>
      <name val="Arial Narrow"/>
    </font>
    <font>
      <sz val="11.0"/>
      <color theme="1"/>
      <name val="Arial"/>
    </font>
    <font>
      <b/>
      <sz val="9.0"/>
      <color theme="1"/>
      <name val="Arial"/>
    </font>
    <font>
      <b/>
      <sz val="11.0"/>
      <color theme="1"/>
      <name val="Arial"/>
    </font>
    <font>
      <b/>
      <sz val="8.0"/>
      <color theme="1"/>
      <name val="Arial Narrow"/>
    </font>
    <font>
      <b/>
      <sz val="9.0"/>
      <color theme="1"/>
      <name val="Calibri"/>
      <scheme val="minor"/>
    </font>
    <font>
      <sz val="10.0"/>
      <color theme="1"/>
      <name val="Calibri"/>
      <scheme val="minor"/>
    </font>
    <font>
      <b/>
      <u/>
      <sz val="11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99CC"/>
        <bgColor rgb="FF0099CC"/>
      </patternFill>
    </fill>
    <fill>
      <patternFill patternType="solid">
        <fgColor rgb="FFB6DDE8"/>
        <bgColor rgb="FFB6DDE8"/>
      </patternFill>
    </fill>
    <fill>
      <patternFill patternType="solid">
        <fgColor theme="8"/>
        <bgColor theme="8"/>
      </patternFill>
    </fill>
    <fill>
      <patternFill patternType="solid">
        <fgColor rgb="FFAEECC3"/>
        <bgColor rgb="FFAEECC3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00B050"/>
        <bgColor rgb="FF00B050"/>
      </patternFill>
    </fill>
  </fills>
  <borders count="46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0" numFmtId="0" xfId="0" applyFon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6" numFmtId="0" xfId="0" applyFont="1"/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7" numFmtId="0" xfId="0" applyFont="1"/>
    <xf borderId="1" fillId="2" fontId="7" numFmtId="0" xfId="0" applyAlignment="1" applyBorder="1" applyFill="1" applyFont="1">
      <alignment horizontal="center" vertical="center"/>
    </xf>
    <xf borderId="2" fillId="0" fontId="8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0" fillId="0" fontId="9" numFmtId="0" xfId="0" applyAlignment="1" applyFont="1">
      <alignment vertical="center"/>
    </xf>
    <xf borderId="5" fillId="0" fontId="8" numFmtId="0" xfId="0" applyBorder="1" applyFont="1"/>
    <xf borderId="6" fillId="0" fontId="8" numFmtId="0" xfId="0" applyBorder="1" applyFont="1"/>
    <xf borderId="0" fillId="0" fontId="4" numFmtId="0" xfId="0" applyAlignment="1" applyFont="1">
      <alignment shrinkToFit="0" vertical="center" wrapText="1"/>
    </xf>
    <xf borderId="0" fillId="0" fontId="4" numFmtId="0" xfId="0" applyFont="1"/>
    <xf borderId="7" fillId="0" fontId="8" numFmtId="0" xfId="0" applyBorder="1" applyFont="1"/>
    <xf borderId="0" fillId="0" fontId="2" numFmtId="0" xfId="0" applyAlignment="1" applyFont="1">
      <alignment horizontal="center"/>
    </xf>
    <xf borderId="8" fillId="0" fontId="8" numFmtId="0" xfId="0" applyBorder="1" applyFont="1"/>
    <xf borderId="0" fillId="0" fontId="9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2" numFmtId="164" xfId="0" applyFont="1" applyNumberFormat="1"/>
    <xf borderId="9" fillId="0" fontId="8" numFmtId="0" xfId="0" applyBorder="1" applyFont="1"/>
    <xf borderId="0" fillId="0" fontId="2" numFmtId="0" xfId="0" applyFont="1"/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2" fontId="7" numFmtId="0" xfId="0" applyAlignment="1" applyBorder="1" applyFont="1">
      <alignment horizontal="center"/>
    </xf>
    <xf borderId="0" fillId="0" fontId="7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11" numFmtId="164" xfId="0" applyAlignment="1" applyFont="1" applyNumberFormat="1">
      <alignment horizontal="left"/>
    </xf>
    <xf borderId="0" fillId="0" fontId="13" numFmtId="0" xfId="0" applyAlignment="1" applyFont="1">
      <alignment horizontal="center"/>
    </xf>
    <xf borderId="0" fillId="0" fontId="11" numFmtId="164" xfId="0" applyFont="1" applyNumberFormat="1"/>
    <xf borderId="8" fillId="0" fontId="11" numFmtId="0" xfId="0" applyAlignment="1" applyBorder="1" applyFont="1">
      <alignment horizontal="center"/>
    </xf>
    <xf borderId="10" fillId="0" fontId="14" numFmtId="0" xfId="0" applyAlignment="1" applyBorder="1" applyFont="1">
      <alignment horizontal="left"/>
    </xf>
    <xf borderId="11" fillId="0" fontId="8" numFmtId="0" xfId="0" applyBorder="1" applyFont="1"/>
    <xf borderId="12" fillId="0" fontId="8" numFmtId="0" xfId="0" applyBorder="1" applyFont="1"/>
    <xf borderId="0" fillId="0" fontId="15" numFmtId="0" xfId="0" applyFont="1"/>
    <xf borderId="0" fillId="0" fontId="16" numFmtId="0" xfId="0" applyFont="1"/>
    <xf borderId="0" fillId="0" fontId="11" numFmtId="0" xfId="0" applyFont="1"/>
    <xf borderId="0" fillId="0" fontId="17" numFmtId="0" xfId="0" applyAlignment="1" applyFont="1">
      <alignment horizontal="left"/>
    </xf>
    <xf borderId="0" fillId="0" fontId="4" numFmtId="0" xfId="0" applyAlignment="1" applyFont="1">
      <alignment horizontal="left"/>
    </xf>
    <xf borderId="8" fillId="0" fontId="1" numFmtId="0" xfId="0" applyBorder="1" applyFont="1"/>
    <xf borderId="0" fillId="0" fontId="2" numFmtId="164" xfId="0" applyAlignment="1" applyFont="1" applyNumberFormat="1">
      <alignment horizontal="left"/>
    </xf>
    <xf borderId="0" fillId="0" fontId="13" numFmtId="0" xfId="0" applyAlignment="1" applyFont="1">
      <alignment horizontal="center" vertical="center"/>
    </xf>
    <xf borderId="10" fillId="0" fontId="15" numFmtId="0" xfId="0" applyAlignment="1" applyBorder="1" applyFont="1">
      <alignment horizontal="left"/>
    </xf>
    <xf borderId="0" fillId="0" fontId="15" numFmtId="0" xfId="0" applyAlignment="1" applyFont="1">
      <alignment horizontal="left"/>
    </xf>
    <xf borderId="11" fillId="0" fontId="15" numFmtId="0" xfId="0" applyAlignment="1" applyBorder="1" applyFont="1">
      <alignment horizontal="left"/>
    </xf>
    <xf borderId="0" fillId="0" fontId="2" numFmtId="164" xfId="0" applyAlignment="1" applyFont="1" applyNumberFormat="1">
      <alignment horizontal="center"/>
    </xf>
    <xf borderId="10" fillId="0" fontId="15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11" fillId="0" fontId="15" numFmtId="0" xfId="0" applyAlignment="1" applyBorder="1" applyFont="1">
      <alignment horizontal="center"/>
    </xf>
    <xf borderId="0" fillId="0" fontId="13" numFmtId="0" xfId="0" applyFont="1"/>
    <xf borderId="0" fillId="0" fontId="18" numFmtId="0" xfId="0" applyFont="1"/>
    <xf borderId="0" fillId="0" fontId="18" numFmtId="164" xfId="0" applyAlignment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20" numFmtId="0" xfId="0" applyFont="1"/>
    <xf borderId="10" fillId="0" fontId="15" numFmtId="0" xfId="0" applyBorder="1" applyFont="1"/>
    <xf borderId="10" fillId="0" fontId="21" numFmtId="0" xfId="0" applyAlignment="1" applyBorder="1" applyFont="1">
      <alignment horizontal="center" vertical="center"/>
    </xf>
    <xf borderId="13" fillId="3" fontId="22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0" fillId="0" fontId="3" numFmtId="0" xfId="0" applyAlignment="1" applyFont="1">
      <alignment horizontal="center" vertical="center"/>
    </xf>
    <xf borderId="14" fillId="3" fontId="6" numFmtId="0" xfId="0" applyBorder="1" applyFont="1"/>
    <xf borderId="0" fillId="0" fontId="3" numFmtId="0" xfId="0" applyFont="1"/>
    <xf borderId="0" fillId="0" fontId="3" numFmtId="164" xfId="0" applyFont="1" applyNumberFormat="1"/>
    <xf borderId="14" fillId="0" fontId="4" numFmtId="0" xfId="0" applyBorder="1" applyFont="1"/>
    <xf borderId="13" fillId="3" fontId="23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/>
    </xf>
    <xf borderId="11" fillId="0" fontId="4" numFmtId="0" xfId="0" applyBorder="1" applyFont="1"/>
    <xf borderId="12" fillId="0" fontId="4" numFmtId="0" xfId="0" applyBorder="1" applyFont="1"/>
    <xf borderId="0" fillId="0" fontId="18" numFmtId="164" xfId="0" applyFont="1" applyNumberFormat="1"/>
    <xf borderId="15" fillId="0" fontId="8" numFmtId="0" xfId="0" applyBorder="1" applyFont="1"/>
    <xf borderId="13" fillId="3" fontId="22" numFmtId="0" xfId="0" applyAlignment="1" applyBorder="1" applyFont="1">
      <alignment horizontal="center" shrinkToFit="0" textRotation="90" vertical="center" wrapText="1"/>
    </xf>
    <xf borderId="16" fillId="4" fontId="24" numFmtId="0" xfId="0" applyAlignment="1" applyBorder="1" applyFill="1" applyFont="1">
      <alignment horizontal="center" vertical="center"/>
    </xf>
    <xf borderId="14" fillId="3" fontId="22" numFmtId="0" xfId="0" applyAlignment="1" applyBorder="1" applyFont="1">
      <alignment horizontal="center" shrinkToFit="0" vertical="center" wrapText="1"/>
    </xf>
    <xf borderId="17" fillId="4" fontId="24" numFmtId="0" xfId="0" applyAlignment="1" applyBorder="1" applyFont="1">
      <alignment horizontal="center" shrinkToFit="0" vertical="center" wrapText="1"/>
    </xf>
    <xf borderId="18" fillId="4" fontId="24" numFmtId="0" xfId="0" applyAlignment="1" applyBorder="1" applyFont="1">
      <alignment horizontal="center" textRotation="90" vertical="center"/>
    </xf>
    <xf borderId="17" fillId="4" fontId="24" numFmtId="0" xfId="0" applyAlignment="1" applyBorder="1" applyFont="1">
      <alignment horizontal="center" vertical="center"/>
    </xf>
    <xf borderId="18" fillId="4" fontId="24" numFmtId="164" xfId="0" applyAlignment="1" applyBorder="1" applyFont="1" applyNumberFormat="1">
      <alignment horizontal="center" vertical="center"/>
    </xf>
    <xf borderId="16" fillId="4" fontId="24" numFmtId="164" xfId="0" applyAlignment="1" applyBorder="1" applyFont="1" applyNumberFormat="1">
      <alignment vertical="center"/>
    </xf>
    <xf borderId="18" fillId="4" fontId="24" numFmtId="164" xfId="0" applyAlignment="1" applyBorder="1" applyFont="1" applyNumberFormat="1">
      <alignment vertical="center"/>
    </xf>
    <xf borderId="19" fillId="4" fontId="24" numFmtId="164" xfId="0" applyAlignment="1" applyBorder="1" applyFont="1" applyNumberFormat="1">
      <alignment vertical="center"/>
    </xf>
    <xf borderId="18" fillId="4" fontId="25" numFmtId="0" xfId="0" applyAlignment="1" applyBorder="1" applyFont="1">
      <alignment horizontal="center" vertical="center"/>
    </xf>
    <xf borderId="13" fillId="5" fontId="22" numFmtId="0" xfId="0" applyAlignment="1" applyBorder="1" applyFill="1" applyFont="1">
      <alignment horizontal="center" shrinkToFit="0" textRotation="90" vertical="center" wrapText="1"/>
    </xf>
    <xf borderId="14" fillId="3" fontId="26" numFmtId="0" xfId="0" applyAlignment="1" applyBorder="1" applyFont="1">
      <alignment horizontal="center" shrinkToFit="0" wrapText="1"/>
    </xf>
    <xf borderId="20" fillId="4" fontId="25" numFmtId="0" xfId="0" applyAlignment="1" applyBorder="1" applyFont="1">
      <alignment horizontal="center" shrinkToFit="0" textRotation="90" vertical="center" wrapText="1"/>
    </xf>
    <xf borderId="0" fillId="0" fontId="26" numFmtId="0" xfId="0" applyFont="1"/>
    <xf borderId="13" fillId="5" fontId="22" numFmtId="0" xfId="0" applyAlignment="1" applyBorder="1" applyFont="1">
      <alignment horizontal="center" shrinkToFit="0" vertical="center" wrapText="1"/>
    </xf>
    <xf borderId="21" fillId="5" fontId="22" numFmtId="0" xfId="0" applyAlignment="1" applyBorder="1" applyFont="1">
      <alignment horizontal="center" shrinkToFit="0" vertical="center" wrapText="1"/>
    </xf>
    <xf borderId="20" fillId="4" fontId="25" numFmtId="0" xfId="0" applyAlignment="1" applyBorder="1" applyFont="1">
      <alignment horizontal="center" textRotation="90" vertical="center"/>
    </xf>
    <xf borderId="10" fillId="3" fontId="26" numFmtId="0" xfId="0" applyAlignment="1" applyBorder="1" applyFont="1">
      <alignment horizontal="center" vertical="center"/>
    </xf>
    <xf borderId="21" fillId="4" fontId="0" numFmtId="0" xfId="0" applyAlignment="1" applyBorder="1" applyFont="1">
      <alignment shrinkToFit="0" wrapText="1"/>
    </xf>
    <xf borderId="0" fillId="0" fontId="26" numFmtId="0" xfId="0" applyAlignment="1" applyFont="1">
      <alignment horizontal="center" vertical="center"/>
    </xf>
    <xf borderId="14" fillId="3" fontId="26" numFmtId="0" xfId="0" applyAlignment="1" applyBorder="1" applyFont="1">
      <alignment horizontal="center" vertical="center"/>
    </xf>
    <xf borderId="22" fillId="0" fontId="8" numFmtId="0" xfId="0" applyBorder="1" applyFont="1"/>
    <xf borderId="23" fillId="4" fontId="24" numFmtId="0" xfId="0" applyBorder="1" applyFont="1"/>
    <xf borderId="14" fillId="3" fontId="26" numFmtId="0" xfId="0" applyAlignment="1" applyBorder="1" applyFont="1">
      <alignment horizontal="center" shrinkToFit="0" vertical="center" wrapText="1"/>
    </xf>
    <xf borderId="10" fillId="3" fontId="27" numFmtId="0" xfId="0" applyAlignment="1" applyBorder="1" applyFont="1">
      <alignment horizontal="center" vertical="center"/>
    </xf>
    <xf borderId="24" fillId="0" fontId="26" numFmtId="0" xfId="0" applyBorder="1" applyFont="1"/>
    <xf borderId="25" fillId="4" fontId="24" numFmtId="0" xfId="0" applyBorder="1" applyFont="1"/>
    <xf borderId="14" fillId="3" fontId="22" numFmtId="0" xfId="0" applyAlignment="1" applyBorder="1" applyFont="1">
      <alignment horizontal="center" vertical="center"/>
    </xf>
    <xf borderId="26" fillId="4" fontId="24" numFmtId="0" xfId="0" applyAlignment="1" applyBorder="1" applyFont="1">
      <alignment horizontal="center" shrinkToFit="0" vertical="center" wrapText="1"/>
    </xf>
    <xf borderId="3" fillId="3" fontId="22" numFmtId="0" xfId="0" applyAlignment="1" applyBorder="1" applyFont="1">
      <alignment horizontal="center" shrinkToFit="0" vertical="center" wrapText="1"/>
    </xf>
    <xf borderId="0" fillId="0" fontId="28" numFmtId="0" xfId="0" applyFont="1"/>
    <xf borderId="14" fillId="3" fontId="22" numFmtId="0" xfId="0" applyAlignment="1" applyBorder="1" applyFont="1">
      <alignment horizontal="center" shrinkToFit="0" textRotation="90" vertical="center" wrapText="1"/>
    </xf>
    <xf borderId="27" fillId="4" fontId="24" numFmtId="0" xfId="0" applyAlignment="1" applyBorder="1" applyFont="1">
      <alignment horizontal="center" vertical="center"/>
    </xf>
    <xf borderId="28" fillId="4" fontId="24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29" fillId="4" fontId="24" numFmtId="0" xfId="0" applyAlignment="1" applyBorder="1" applyFont="1">
      <alignment horizontal="center" textRotation="90" vertical="center"/>
    </xf>
    <xf borderId="21" fillId="4" fontId="24" numFmtId="164" xfId="0" applyAlignment="1" applyBorder="1" applyFont="1" applyNumberFormat="1">
      <alignment horizontal="center" vertical="center"/>
    </xf>
    <xf borderId="0" fillId="0" fontId="29" numFmtId="0" xfId="0" applyAlignment="1" applyFont="1">
      <alignment horizontal="center" shrinkToFit="0" vertical="center" wrapText="1"/>
    </xf>
    <xf borderId="30" fillId="4" fontId="24" numFmtId="164" xfId="0" applyAlignment="1" applyBorder="1" applyFont="1" applyNumberFormat="1">
      <alignment vertical="center"/>
    </xf>
    <xf borderId="14" fillId="3" fontId="27" numFmtId="0" xfId="0" applyAlignment="1" applyBorder="1" applyFont="1">
      <alignment horizontal="center" shrinkToFit="0" vertical="center" wrapText="1"/>
    </xf>
    <xf borderId="31" fillId="4" fontId="24" numFmtId="164" xfId="0" applyAlignment="1" applyBorder="1" applyFont="1" applyNumberFormat="1">
      <alignment vertical="center"/>
    </xf>
    <xf borderId="32" fillId="4" fontId="24" numFmtId="164" xfId="0" applyAlignment="1" applyBorder="1" applyFont="1" applyNumberFormat="1">
      <alignment vertical="center"/>
    </xf>
    <xf borderId="21" fillId="4" fontId="25" numFmtId="0" xfId="0" applyAlignment="1" applyBorder="1" applyFont="1">
      <alignment horizontal="center" vertical="center"/>
    </xf>
    <xf borderId="26" fillId="5" fontId="22" numFmtId="0" xfId="0" applyAlignment="1" applyBorder="1" applyFont="1">
      <alignment horizontal="center" shrinkToFit="0" textRotation="90" vertical="center" wrapText="1"/>
    </xf>
    <xf borderId="33" fillId="0" fontId="8" numFmtId="0" xfId="0" applyBorder="1" applyFont="1"/>
    <xf borderId="26" fillId="5" fontId="22" numFmtId="0" xfId="0" applyAlignment="1" applyBorder="1" applyFont="1">
      <alignment horizontal="center" shrinkToFit="0" vertical="center" wrapText="1"/>
    </xf>
    <xf borderId="34" fillId="4" fontId="24" numFmtId="0" xfId="0" applyBorder="1" applyFont="1"/>
    <xf borderId="14" fillId="6" fontId="3" numFmtId="0" xfId="0" applyAlignment="1" applyBorder="1" applyFill="1" applyFont="1">
      <alignment horizontal="center" vertical="center"/>
    </xf>
    <xf borderId="35" fillId="4" fontId="24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left" vertical="center"/>
    </xf>
    <xf borderId="36" fillId="0" fontId="8" numFmtId="0" xfId="0" applyBorder="1" applyFont="1"/>
    <xf borderId="14" fillId="0" fontId="6" numFmtId="0" xfId="0" applyAlignment="1" applyBorder="1" applyFont="1">
      <alignment vertical="center"/>
    </xf>
    <xf borderId="14" fillId="0" fontId="6" numFmtId="164" xfId="0" applyAlignment="1" applyBorder="1" applyFont="1" applyNumberFormat="1">
      <alignment horizontal="right" vertical="center"/>
    </xf>
    <xf borderId="28" fillId="4" fontId="24" numFmtId="0" xfId="0" applyAlignment="1" applyBorder="1" applyFont="1">
      <alignment horizontal="center" vertical="center"/>
    </xf>
    <xf borderId="14" fillId="0" fontId="30" numFmtId="0" xfId="0" applyAlignment="1" applyBorder="1" applyFont="1">
      <alignment horizontal="left" vertical="center"/>
    </xf>
    <xf borderId="17" fillId="4" fontId="24" numFmtId="164" xfId="0" applyAlignment="1" applyBorder="1" applyFont="1" applyNumberFormat="1">
      <alignment horizontal="center" vertical="center"/>
    </xf>
    <xf borderId="25" fillId="4" fontId="24" numFmtId="0" xfId="0" applyAlignment="1" applyBorder="1" applyFont="1">
      <alignment horizontal="center" vertical="center"/>
    </xf>
    <xf borderId="14" fillId="4" fontId="2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37" fillId="4" fontId="24" numFmtId="0" xfId="0" applyAlignment="1" applyBorder="1" applyFont="1">
      <alignment horizontal="center" vertical="center"/>
    </xf>
    <xf borderId="30" fillId="4" fontId="24" numFmtId="0" xfId="0" applyAlignment="1" applyBorder="1" applyFont="1">
      <alignment horizontal="center" vertical="center"/>
    </xf>
    <xf borderId="38" fillId="4" fontId="24" numFmtId="0" xfId="0" applyAlignment="1" applyBorder="1" applyFont="1">
      <alignment horizontal="center" shrinkToFit="0" vertical="center" wrapText="1"/>
    </xf>
    <xf borderId="31" fillId="4" fontId="24" numFmtId="0" xfId="0" applyAlignment="1" applyBorder="1" applyFont="1">
      <alignment horizontal="center" textRotation="90" vertical="center"/>
    </xf>
    <xf borderId="38" fillId="4" fontId="24" numFmtId="0" xfId="0" applyAlignment="1" applyBorder="1" applyFont="1">
      <alignment horizontal="center" vertical="center"/>
    </xf>
    <xf borderId="31" fillId="4" fontId="24" numFmtId="164" xfId="0" applyAlignment="1" applyBorder="1" applyFont="1" applyNumberFormat="1">
      <alignment horizontal="center" vertical="center"/>
    </xf>
    <xf borderId="38" fillId="4" fontId="24" numFmtId="164" xfId="0" applyAlignment="1" applyBorder="1" applyFont="1" applyNumberFormat="1">
      <alignment horizontal="center" vertical="center"/>
    </xf>
    <xf borderId="31" fillId="4" fontId="25" numFmtId="0" xfId="0" applyAlignment="1" applyBorder="1" applyFont="1">
      <alignment horizontal="center" vertical="center"/>
    </xf>
    <xf borderId="39" fillId="0" fontId="8" numFmtId="0" xfId="0" applyBorder="1" applyFont="1"/>
    <xf borderId="40" fillId="4" fontId="24" numFmtId="0" xfId="0" applyAlignment="1" applyBorder="1" applyFont="1">
      <alignment horizontal="center" vertical="center"/>
    </xf>
    <xf borderId="41" fillId="4" fontId="24" numFmtId="0" xfId="0" applyAlignment="1" applyBorder="1" applyFont="1">
      <alignment horizontal="center" vertical="center"/>
    </xf>
    <xf borderId="14" fillId="0" fontId="28" numFmtId="0" xfId="0" applyAlignment="1" applyBorder="1" applyFont="1">
      <alignment shrinkToFit="1" vertical="center" wrapText="0"/>
    </xf>
    <xf borderId="0" fillId="0" fontId="6" numFmtId="0" xfId="0" applyAlignment="1" applyFont="1">
      <alignment vertical="center"/>
    </xf>
    <xf borderId="14" fillId="0" fontId="3" numFmtId="0" xfId="0" applyAlignment="1" applyBorder="1" applyFont="1">
      <alignment horizontal="center" vertical="center"/>
    </xf>
    <xf borderId="14" fillId="0" fontId="28" numFmtId="0" xfId="0" applyAlignment="1" applyBorder="1" applyFont="1">
      <alignment vertical="center"/>
    </xf>
    <xf borderId="42" fillId="7" fontId="6" numFmtId="0" xfId="0" applyAlignment="1" applyBorder="1" applyFill="1" applyFont="1">
      <alignment horizontal="center" vertical="center"/>
    </xf>
    <xf borderId="26" fillId="8" fontId="6" numFmtId="0" xfId="0" applyAlignment="1" applyBorder="1" applyFill="1" applyFont="1">
      <alignment horizontal="center" shrinkToFit="0" vertical="center" wrapText="1"/>
    </xf>
    <xf borderId="43" fillId="9" fontId="6" numFmtId="0" xfId="0" applyAlignment="1" applyBorder="1" applyFill="1" applyFont="1">
      <alignment horizontal="center" vertical="center"/>
    </xf>
    <xf borderId="43" fillId="8" fontId="6" numFmtId="0" xfId="0" applyAlignment="1" applyBorder="1" applyFont="1">
      <alignment horizontal="center" vertical="center"/>
    </xf>
    <xf borderId="14" fillId="0" fontId="6" numFmtId="1" xfId="0" applyAlignment="1" applyBorder="1" applyFont="1" applyNumberFormat="1">
      <alignment horizontal="center" vertical="center"/>
    </xf>
    <xf borderId="41" fillId="4" fontId="2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  <xf borderId="14" fillId="0" fontId="6" numFmtId="164" xfId="0" applyAlignment="1" applyBorder="1" applyFont="1" applyNumberFormat="1">
      <alignment horizontal="center" vertical="center"/>
    </xf>
    <xf borderId="14" fillId="0" fontId="30" numFmtId="0" xfId="0" applyAlignment="1" applyBorder="1" applyFont="1">
      <alignment horizontal="center" vertical="center"/>
    </xf>
    <xf borderId="10" fillId="0" fontId="6" numFmtId="0" xfId="0" applyAlignment="1" applyBorder="1" applyFont="1">
      <alignment shrinkToFit="0" vertical="center" wrapText="1"/>
    </xf>
    <xf borderId="0" fillId="0" fontId="28" numFmtId="0" xfId="0" applyAlignment="1" applyFont="1">
      <alignment shrinkToFit="1" vertical="center" wrapText="0"/>
    </xf>
    <xf borderId="14" fillId="10" fontId="6" numFmtId="0" xfId="0" applyAlignment="1" applyBorder="1" applyFill="1" applyFont="1">
      <alignment horizontal="center" vertical="center"/>
    </xf>
    <xf borderId="14" fillId="0" fontId="3" numFmtId="49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left" vertical="center"/>
    </xf>
    <xf borderId="14" fillId="0" fontId="28" numFmtId="0" xfId="0" applyAlignment="1" applyBorder="1" applyFont="1">
      <alignment horizontal="left" vertical="center"/>
    </xf>
    <xf borderId="41" fillId="6" fontId="3" numFmtId="0" xfId="0" applyAlignment="1" applyBorder="1" applyFont="1">
      <alignment horizontal="center" vertical="center"/>
    </xf>
    <xf borderId="44" fillId="6" fontId="3" numFmtId="0" xfId="0" applyAlignment="1" applyBorder="1" applyFont="1">
      <alignment horizontal="center" vertical="center"/>
    </xf>
    <xf borderId="7" fillId="0" fontId="31" numFmtId="0" xfId="0" applyAlignment="1" applyBorder="1" applyFont="1">
      <alignment horizontal="left" vertical="center"/>
    </xf>
    <xf borderId="22" fillId="0" fontId="6" numFmtId="0" xfId="0" applyAlignment="1" applyBorder="1" applyFont="1">
      <alignment vertical="center"/>
    </xf>
    <xf borderId="22" fillId="0" fontId="6" numFmtId="164" xfId="0" applyAlignment="1" applyBorder="1" applyFont="1" applyNumberFormat="1">
      <alignment horizontal="center" vertical="center"/>
    </xf>
    <xf borderId="22" fillId="0" fontId="6" numFmtId="0" xfId="0" applyAlignment="1" applyBorder="1" applyFont="1">
      <alignment horizontal="center" vertical="center"/>
    </xf>
    <xf borderId="22" fillId="0" fontId="30" numFmtId="0" xfId="0" applyAlignment="1" applyBorder="1" applyFont="1">
      <alignment horizontal="center" vertical="center"/>
    </xf>
    <xf borderId="22" fillId="0" fontId="32" numFmtId="0" xfId="0" applyAlignment="1" applyBorder="1" applyFont="1">
      <alignment vertical="center"/>
    </xf>
    <xf borderId="37" fillId="6" fontId="3" numFmtId="0" xfId="0" applyAlignment="1" applyBorder="1" applyFont="1">
      <alignment horizontal="center" vertical="center"/>
    </xf>
    <xf borderId="10" fillId="0" fontId="31" numFmtId="0" xfId="0" applyAlignment="1" applyBorder="1" applyFont="1">
      <alignment horizontal="left" vertical="center"/>
    </xf>
    <xf borderId="14" fillId="0" fontId="30" numFmtId="0" xfId="0" applyAlignment="1" applyBorder="1" applyFont="1">
      <alignment vertical="center"/>
    </xf>
    <xf borderId="0" fillId="0" fontId="31" numFmtId="0" xfId="0" applyFont="1"/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left"/>
    </xf>
    <xf borderId="0" fillId="0" fontId="3" numFmtId="0" xfId="0" applyAlignment="1" applyFont="1">
      <alignment horizontal="right"/>
    </xf>
    <xf borderId="11" fillId="0" fontId="6" numFmtId="0" xfId="0" applyAlignment="1" applyBorder="1" applyFont="1">
      <alignment horizontal="left"/>
    </xf>
    <xf borderId="14" fillId="11" fontId="22" numFmtId="0" xfId="0" applyAlignment="1" applyBorder="1" applyFill="1" applyFont="1">
      <alignment horizontal="center"/>
    </xf>
    <xf borderId="21" fillId="11" fontId="3" numFmtId="0" xfId="0" applyAlignment="1" applyBorder="1" applyFont="1">
      <alignment horizontal="center" vertical="center"/>
    </xf>
    <xf borderId="21" fillId="11" fontId="0" numFmtId="0" xfId="0" applyBorder="1" applyFont="1"/>
    <xf borderId="10" fillId="11" fontId="33" numFmtId="0" xfId="0" applyAlignment="1" applyBorder="1" applyFont="1">
      <alignment horizontal="left"/>
    </xf>
    <xf borderId="0" fillId="0" fontId="3" numFmtId="0" xfId="0" applyAlignment="1" applyFont="1">
      <alignment vertical="center"/>
    </xf>
    <xf borderId="12" fillId="0" fontId="6" numFmtId="0" xfId="0" applyAlignment="1" applyBorder="1" applyFont="1">
      <alignment vertical="center"/>
    </xf>
    <xf borderId="8" fillId="0" fontId="6" numFmtId="0" xfId="0" applyBorder="1" applyFont="1"/>
    <xf borderId="21" fillId="11" fontId="6" numFmtId="0" xfId="0" applyBorder="1" applyFont="1"/>
    <xf borderId="4" fillId="0" fontId="3" numFmtId="0" xfId="0" applyAlignment="1" applyBorder="1" applyFont="1">
      <alignment horizontal="center"/>
    </xf>
    <xf borderId="11" fillId="0" fontId="6" numFmtId="0" xfId="0" applyAlignment="1" applyBorder="1" applyFont="1">
      <alignment horizontal="left" vertical="center"/>
    </xf>
    <xf borderId="12" fillId="0" fontId="6" numFmtId="0" xfId="0" applyAlignment="1" applyBorder="1" applyFont="1">
      <alignment horizontal="left" vertical="center"/>
    </xf>
    <xf borderId="14" fillId="7" fontId="22" numFmtId="0" xfId="0" applyAlignment="1" applyBorder="1" applyFont="1">
      <alignment horizontal="center"/>
    </xf>
    <xf borderId="21" fillId="7" fontId="6" numFmtId="0" xfId="0" applyBorder="1" applyFont="1"/>
    <xf borderId="10" fillId="7" fontId="33" numFmtId="0" xfId="0" applyAlignment="1" applyBorder="1" applyFont="1">
      <alignment horizontal="left"/>
    </xf>
    <xf borderId="21" fillId="11" fontId="6" numFmtId="164" xfId="0" applyAlignment="1" applyBorder="1" applyFont="1" applyNumberFormat="1">
      <alignment horizontal="center"/>
    </xf>
    <xf borderId="4" fillId="0" fontId="22" numFmtId="0" xfId="0" applyBorder="1" applyFont="1"/>
    <xf borderId="0" fillId="0" fontId="6" numFmtId="164" xfId="0" applyFont="1" applyNumberFormat="1"/>
    <xf borderId="0" fillId="0" fontId="22" numFmtId="0" xfId="0" applyFont="1"/>
    <xf borderId="21" fillId="3" fontId="0" numFmtId="0" xfId="0" applyBorder="1" applyFont="1"/>
    <xf borderId="0" fillId="0" fontId="34" numFmtId="0" xfId="0" applyFont="1"/>
    <xf borderId="0" fillId="0" fontId="22" numFmtId="0" xfId="0" applyAlignment="1" applyFont="1">
      <alignment horizontal="center"/>
    </xf>
    <xf borderId="21" fillId="12" fontId="0" numFmtId="0" xfId="0" applyBorder="1" applyFill="1" applyFont="1"/>
    <xf borderId="21" fillId="13" fontId="0" numFmtId="0" xfId="0" applyBorder="1" applyFill="1" applyFont="1"/>
    <xf borderId="21" fillId="14" fontId="0" numFmtId="0" xfId="0" applyBorder="1" applyFill="1" applyFont="1"/>
    <xf borderId="21" fillId="15" fontId="0" numFmtId="0" xfId="0" applyBorder="1" applyFill="1" applyFont="1"/>
    <xf borderId="21" fillId="16" fontId="0" numFmtId="0" xfId="0" applyBorder="1" applyFill="1" applyFont="1"/>
    <xf borderId="0" fillId="0" fontId="0" numFmtId="165" xfId="0" applyFont="1" applyNumberFormat="1"/>
    <xf borderId="0" fillId="0" fontId="35" numFmtId="0" xfId="0" applyFont="1"/>
    <xf borderId="0" fillId="0" fontId="36" numFmtId="0" xfId="0" applyAlignment="1" applyFont="1">
      <alignment horizontal="center" vertical="center"/>
    </xf>
    <xf borderId="45" fillId="0" fontId="3" numFmtId="0" xfId="0" applyAlignment="1" applyBorder="1" applyFont="1">
      <alignment horizontal="center"/>
    </xf>
    <xf borderId="0" fillId="0" fontId="37" numFmtId="0" xfId="0" applyFont="1"/>
    <xf borderId="0" fillId="0" fontId="38" numFmtId="0" xfId="0" applyAlignment="1" applyFont="1">
      <alignment horizontal="center" vertical="center"/>
    </xf>
    <xf borderId="8" fillId="0" fontId="3" numFmtId="0" xfId="0" applyBorder="1" applyFont="1"/>
    <xf borderId="8" fillId="0" fontId="3" numFmtId="0" xfId="0" applyAlignment="1" applyBorder="1" applyFont="1">
      <alignment horizontal="center"/>
    </xf>
  </cellXfs>
  <cellStyles count="1">
    <cellStyle xfId="0" name="Normal" builtinId="0"/>
  </cellStyles>
  <dxfs count="9"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rgb="FFB6DDE8"/>
          <bgColor rgb="FFB6DDE8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8DB3E2"/>
          <bgColor rgb="FF8DB3E2"/>
        </patternFill>
      </fill>
      <border/>
    </dxf>
    <dxf>
      <font/>
      <fill>
        <patternFill patternType="solid">
          <fgColor rgb="FFDDD9C3"/>
          <bgColor rgb="FFDDD9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06/relationships/vbaProject" Target="vbaProject.bin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228600</xdr:colOff>
      <xdr:row>5</xdr:row>
      <xdr:rowOff>9525</xdr:rowOff>
    </xdr:from>
    <xdr:ext cx="2981325" cy="762000"/>
    <xdr:sp>
      <xdr:nvSpPr>
        <xdr:cNvPr id="3" name="Shape 3"/>
        <xdr:cNvSpPr txBox="1"/>
      </xdr:nvSpPr>
      <xdr:spPr>
        <a:xfrm>
          <a:off x="3860100" y="3403763"/>
          <a:ext cx="2971800" cy="752475"/>
        </a:xfrm>
        <a:prstGeom prst="rect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Arial Narrow"/>
              <a:ea typeface="Arial Narrow"/>
              <a:cs typeface="Arial Narrow"/>
              <a:sym typeface="Arial Narrow"/>
            </a:rPr>
            <a:t>Nota: Sr. Director, deberá registrar correctamente el</a:t>
          </a:r>
          <a:r>
            <a:rPr b="1" lang="en-US" sz="1100">
              <a:solidFill>
                <a:schemeClr val="lt1"/>
              </a:solidFill>
              <a:latin typeface="Arial Narrow"/>
              <a:ea typeface="Arial Narrow"/>
              <a:cs typeface="Arial Narrow"/>
              <a:sym typeface="Arial Narrow"/>
            </a:rPr>
            <a:t> Número de DNI y los demás datos del Personal; de no ser así se verá perjudicado el haber mensual del personal a su cargo.</a:t>
          </a:r>
          <a:endParaRPr b="1" sz="1100"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0</xdr:col>
      <xdr:colOff>0</xdr:colOff>
      <xdr:row>58</xdr:row>
      <xdr:rowOff>9525</xdr:rowOff>
    </xdr:from>
    <xdr:ext cx="11058525" cy="6181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0</xdr:row>
      <xdr:rowOff>76200</xdr:rowOff>
    </xdr:from>
    <xdr:ext cx="2438400" cy="609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56</xdr:row>
      <xdr:rowOff>0</xdr:rowOff>
    </xdr:from>
    <xdr:ext cx="10239375" cy="6181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0</xdr:row>
      <xdr:rowOff>38100</xdr:rowOff>
    </xdr:from>
    <xdr:ext cx="2438400" cy="609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DOC%20ASIST%20PER/Users/toshiba/Desktop/SEPARATAS%20COIN/cnp_2015-enero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npenero2013"/>
      <sheetName val="Hoja5"/>
      <sheetName val="CNP-2014"/>
      <sheetName val="CNP 2015"/>
      <sheetName val="Hoja6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hidden="1" min="2" max="2" width="8.29"/>
    <col customWidth="1" hidden="1" min="3" max="3" width="4.29"/>
    <col customWidth="1" min="4" max="4" width="9.86"/>
    <col customWidth="1" min="5" max="5" width="36.57"/>
    <col customWidth="1" min="6" max="6" width="10.29"/>
    <col customWidth="1" min="7" max="7" width="11.14"/>
    <col customWidth="1" min="8" max="8" width="9.71"/>
    <col customWidth="1" min="9" max="39" width="3.71"/>
    <col customWidth="1" hidden="1" min="40" max="48" width="3.71"/>
    <col customWidth="1" hidden="1" min="49" max="49" width="8.86"/>
    <col customWidth="1" hidden="1" min="50" max="59" width="3.71"/>
  </cols>
  <sheetData>
    <row r="1" ht="19.5" customHeight="1">
      <c r="A1" s="6"/>
      <c r="B1" s="6"/>
      <c r="C1" s="6"/>
      <c r="D1" s="6"/>
      <c r="E1" s="6"/>
      <c r="F1" s="8" t="s">
        <v>27</v>
      </c>
      <c r="AN1" s="6"/>
      <c r="AO1" s="6"/>
      <c r="AP1" s="9"/>
      <c r="AQ1" s="9"/>
      <c r="AR1" s="9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 t="s">
        <v>44</v>
      </c>
      <c r="BF1" s="10" t="s">
        <v>45</v>
      </c>
      <c r="BG1" s="10" t="s">
        <v>46</v>
      </c>
    </row>
    <row r="2" ht="19.5" customHeight="1">
      <c r="A2" s="6"/>
      <c r="B2" s="6"/>
      <c r="C2" s="6"/>
      <c r="D2" s="6"/>
      <c r="E2" s="6"/>
      <c r="AN2" s="6"/>
      <c r="AO2" s="6"/>
      <c r="AP2" s="9"/>
      <c r="AQ2" s="9"/>
      <c r="AR2" s="9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 t="s">
        <v>53</v>
      </c>
      <c r="BF2" s="10" t="s">
        <v>54</v>
      </c>
      <c r="BG2" s="10" t="s">
        <v>34</v>
      </c>
    </row>
    <row r="3" ht="19.5" customHeight="1">
      <c r="A3" s="12" t="s">
        <v>57</v>
      </c>
      <c r="AO3" s="1"/>
      <c r="AP3" s="1"/>
      <c r="AQ3" s="1"/>
      <c r="AR3" s="1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 t="s">
        <v>64</v>
      </c>
      <c r="BF3" s="10" t="s">
        <v>65</v>
      </c>
      <c r="BG3" s="10" t="s">
        <v>67</v>
      </c>
    </row>
    <row r="4" ht="14.25" customHeight="1">
      <c r="A4" s="10"/>
      <c r="B4" s="13"/>
      <c r="C4" s="13"/>
      <c r="D4" s="13"/>
      <c r="E4" s="14" t="s">
        <v>71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9"/>
      <c r="AK4" s="13"/>
      <c r="AL4" s="13"/>
      <c r="AM4" s="13"/>
      <c r="AN4" s="13"/>
      <c r="AO4" s="13"/>
      <c r="AP4" s="13"/>
      <c r="AQ4" s="13"/>
      <c r="AR4" s="13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 t="s">
        <v>100</v>
      </c>
      <c r="BF4" s="10" t="s">
        <v>101</v>
      </c>
      <c r="BG4" s="10" t="s">
        <v>103</v>
      </c>
    </row>
    <row r="5" ht="18.0" customHeight="1">
      <c r="A5" s="22"/>
      <c r="B5" s="1"/>
      <c r="C5" s="1"/>
      <c r="D5" s="1"/>
      <c r="E5" s="22" t="s">
        <v>105</v>
      </c>
      <c r="F5" s="24" t="s">
        <v>109</v>
      </c>
      <c r="G5" s="26" t="s">
        <v>118</v>
      </c>
      <c r="L5" s="31">
        <f>VLOOKUP(G5,CALEND!$A$17:$B$28,2,FALSE)</f>
        <v>3</v>
      </c>
      <c r="M5" s="32"/>
      <c r="N5" s="1"/>
      <c r="O5" s="1"/>
      <c r="P5" s="33"/>
      <c r="Q5" s="34" t="s">
        <v>146</v>
      </c>
      <c r="S5" s="33">
        <v>2021.0</v>
      </c>
      <c r="V5" s="36"/>
      <c r="W5" s="36"/>
      <c r="X5" s="37">
        <f>+AñoNatural</f>
        <v>2021</v>
      </c>
      <c r="Y5" s="36"/>
      <c r="Z5" s="38" t="s">
        <v>160</v>
      </c>
      <c r="AA5" s="30"/>
      <c r="AB5" s="36"/>
      <c r="AC5" s="40" t="str">
        <f>VLOOKUP(F6,DATA!$A$1:$S$284,15,FALSE)</f>
        <v>Turno_of</v>
      </c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0" t="s">
        <v>181</v>
      </c>
      <c r="BF5" s="10" t="s">
        <v>183</v>
      </c>
      <c r="BG5" s="1"/>
    </row>
    <row r="6" ht="18.0" customHeight="1">
      <c r="A6" s="1"/>
      <c r="B6" s="1"/>
      <c r="C6" s="1"/>
      <c r="D6" s="1"/>
      <c r="E6" s="22" t="s">
        <v>188</v>
      </c>
      <c r="F6" s="43" t="s">
        <v>0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5"/>
      <c r="AA6" s="46"/>
      <c r="AB6" s="1"/>
      <c r="AC6" s="46"/>
      <c r="AD6" s="46"/>
      <c r="AE6" s="46"/>
      <c r="AF6" s="46"/>
      <c r="AG6" s="46"/>
      <c r="AH6" s="46"/>
      <c r="AI6" s="30"/>
      <c r="AJ6" s="47"/>
      <c r="AK6" s="30"/>
      <c r="AL6" s="49"/>
      <c r="AM6" s="1"/>
      <c r="AN6" s="5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0" t="s">
        <v>215</v>
      </c>
      <c r="BF6" s="10"/>
      <c r="BG6" s="1"/>
    </row>
    <row r="7" ht="15.0" customHeight="1">
      <c r="A7" s="1"/>
      <c r="B7" s="1"/>
      <c r="C7" s="1"/>
      <c r="D7" s="1"/>
      <c r="E7" s="22" t="s">
        <v>219</v>
      </c>
      <c r="F7" s="54" t="str">
        <f>VLOOKUP($F$6,DATA!$A$1:$S$284,4,FALSE)</f>
        <v>Nivel / Modalidad</v>
      </c>
      <c r="G7" s="44"/>
      <c r="H7" s="45"/>
      <c r="I7" s="55"/>
      <c r="J7" s="22" t="s">
        <v>229</v>
      </c>
      <c r="K7" s="1"/>
      <c r="L7" s="56" t="str">
        <f>VLOOKUP($F$6,DATA!$A:$S,6,FALSE)</f>
        <v>Dirección de IE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1"/>
      <c r="AB7" s="22"/>
      <c r="AC7" s="32"/>
      <c r="AD7" s="32"/>
      <c r="AE7" s="32"/>
      <c r="AF7" s="32"/>
      <c r="AG7" s="33"/>
      <c r="AL7" s="34"/>
      <c r="AM7" s="34"/>
      <c r="AN7" s="30"/>
      <c r="AO7" s="49"/>
      <c r="AP7" s="49"/>
      <c r="AQ7" s="49"/>
      <c r="AR7" s="49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0" t="s">
        <v>250</v>
      </c>
      <c r="BF7" s="10"/>
      <c r="BG7" s="1"/>
    </row>
    <row r="8" ht="15.0" customHeight="1">
      <c r="A8" s="1"/>
      <c r="B8" s="38"/>
      <c r="C8" s="38"/>
      <c r="D8" s="38"/>
      <c r="E8" s="22" t="s">
        <v>252</v>
      </c>
      <c r="F8" s="54" t="str">
        <f>VLOOKUP($F$6,DATA!$A$1:$S$284,2,FALSE)</f>
        <v>Código modular</v>
      </c>
      <c r="G8" s="45"/>
      <c r="H8" s="1"/>
      <c r="I8" s="58" t="s">
        <v>260</v>
      </c>
      <c r="J8" s="45"/>
      <c r="K8" s="59" t="s">
        <v>263</v>
      </c>
      <c r="L8" s="44"/>
      <c r="M8" s="44"/>
      <c r="N8" s="45"/>
      <c r="O8" s="58" t="s">
        <v>268</v>
      </c>
      <c r="P8" s="45"/>
      <c r="Q8" s="59" t="s">
        <v>273</v>
      </c>
      <c r="R8" s="44"/>
      <c r="S8" s="44"/>
      <c r="T8" s="45"/>
      <c r="U8" s="58" t="s">
        <v>275</v>
      </c>
      <c r="V8" s="45"/>
      <c r="W8" s="59"/>
      <c r="X8" s="44"/>
      <c r="Y8" s="44"/>
      <c r="Z8" s="45"/>
      <c r="AA8" s="51"/>
      <c r="AB8" s="1"/>
      <c r="AC8" s="1"/>
      <c r="AD8" s="1"/>
      <c r="AE8" s="1"/>
      <c r="AF8" s="1"/>
      <c r="AG8" s="1"/>
      <c r="AH8" s="1"/>
      <c r="AI8" s="1"/>
      <c r="AJ8" s="1"/>
      <c r="AK8" s="49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0" t="s">
        <v>284</v>
      </c>
      <c r="BF8" s="1"/>
      <c r="BG8" s="1"/>
    </row>
    <row r="9" ht="3.0" customHeight="1">
      <c r="A9" s="10"/>
      <c r="B9" s="10"/>
      <c r="C9" s="10"/>
      <c r="D9" s="10"/>
      <c r="E9" s="63"/>
      <c r="F9" s="64"/>
      <c r="G9" s="65"/>
      <c r="H9" s="65"/>
      <c r="I9" s="65"/>
      <c r="J9" s="65"/>
      <c r="K9" s="65"/>
      <c r="L9" s="65"/>
      <c r="M9" s="65"/>
      <c r="N9" s="10"/>
      <c r="O9" s="66"/>
      <c r="P9" s="66"/>
      <c r="Q9" s="66"/>
      <c r="R9" s="66"/>
      <c r="S9" s="65"/>
      <c r="T9" s="65"/>
      <c r="U9" s="65"/>
      <c r="V9" s="65"/>
      <c r="W9" s="65"/>
      <c r="X9" s="65"/>
      <c r="Y9" s="65"/>
      <c r="Z9" s="65"/>
      <c r="AA9" s="65"/>
      <c r="AB9" s="65"/>
      <c r="AC9" s="67"/>
      <c r="AD9" s="67"/>
      <c r="AE9" s="67"/>
      <c r="AF9" s="66"/>
      <c r="AG9" s="66"/>
      <c r="AH9" s="66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 t="s">
        <v>299</v>
      </c>
      <c r="BF9" s="10"/>
      <c r="BG9" s="10"/>
    </row>
    <row r="10" ht="13.5" customHeight="1">
      <c r="A10" s="70" t="s">
        <v>302</v>
      </c>
      <c r="B10" s="73"/>
      <c r="C10" s="73"/>
      <c r="D10" s="70" t="s">
        <v>310</v>
      </c>
      <c r="E10" s="70" t="s">
        <v>314</v>
      </c>
      <c r="F10" s="70" t="s">
        <v>44</v>
      </c>
      <c r="G10" s="77" t="s">
        <v>45</v>
      </c>
      <c r="H10" s="77" t="s">
        <v>321</v>
      </c>
      <c r="I10" s="78" t="s">
        <v>323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5"/>
      <c r="AN10" s="65"/>
      <c r="AO10" s="65"/>
      <c r="AP10" s="65"/>
      <c r="AQ10" s="65"/>
      <c r="AR10" s="65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 t="s">
        <v>339</v>
      </c>
      <c r="BF10" s="10"/>
      <c r="BG10" s="10"/>
    </row>
    <row r="11" ht="15.0" customHeight="1">
      <c r="A11" s="82"/>
      <c r="B11" s="70" t="s">
        <v>341</v>
      </c>
      <c r="C11" s="83" t="s">
        <v>342</v>
      </c>
      <c r="D11" s="82"/>
      <c r="E11" s="82"/>
      <c r="F11" s="82"/>
      <c r="G11" s="82"/>
      <c r="H11" s="82"/>
      <c r="I11" s="85">
        <v>1.0</v>
      </c>
      <c r="J11" s="85">
        <v>2.0</v>
      </c>
      <c r="K11" s="85">
        <v>3.0</v>
      </c>
      <c r="L11" s="85">
        <v>4.0</v>
      </c>
      <c r="M11" s="85">
        <v>5.0</v>
      </c>
      <c r="N11" s="85">
        <v>6.0</v>
      </c>
      <c r="O11" s="85">
        <v>7.0</v>
      </c>
      <c r="P11" s="85">
        <v>8.0</v>
      </c>
      <c r="Q11" s="85">
        <v>9.0</v>
      </c>
      <c r="R11" s="85">
        <v>10.0</v>
      </c>
      <c r="S11" s="85">
        <v>11.0</v>
      </c>
      <c r="T11" s="85">
        <v>12.0</v>
      </c>
      <c r="U11" s="85">
        <v>13.0</v>
      </c>
      <c r="V11" s="85">
        <v>14.0</v>
      </c>
      <c r="W11" s="85">
        <v>15.0</v>
      </c>
      <c r="X11" s="85">
        <v>16.0</v>
      </c>
      <c r="Y11" s="85">
        <v>17.0</v>
      </c>
      <c r="Z11" s="85">
        <v>18.0</v>
      </c>
      <c r="AA11" s="85">
        <v>19.0</v>
      </c>
      <c r="AB11" s="85">
        <v>20.0</v>
      </c>
      <c r="AC11" s="85">
        <v>21.0</v>
      </c>
      <c r="AD11" s="85">
        <v>22.0</v>
      </c>
      <c r="AE11" s="85">
        <v>23.0</v>
      </c>
      <c r="AF11" s="85">
        <v>24.0</v>
      </c>
      <c r="AG11" s="85">
        <v>25.0</v>
      </c>
      <c r="AH11" s="85">
        <v>26.0</v>
      </c>
      <c r="AI11" s="85">
        <v>27.0</v>
      </c>
      <c r="AJ11" s="85">
        <v>28.0</v>
      </c>
      <c r="AK11" s="85">
        <v>29.0</v>
      </c>
      <c r="AL11" s="85">
        <f>IF(G5="FEBRERO","",30)</f>
        <v>30</v>
      </c>
      <c r="AM11" s="85">
        <f>IF(G5="FEBRERO","",31)</f>
        <v>31</v>
      </c>
      <c r="AN11" s="94" t="s">
        <v>366</v>
      </c>
      <c r="AO11" s="98" t="s">
        <v>373</v>
      </c>
      <c r="AP11" s="99"/>
      <c r="AQ11" s="99"/>
      <c r="AR11" s="99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" t="s">
        <v>386</v>
      </c>
      <c r="BF11" s="102"/>
      <c r="BG11" s="102"/>
    </row>
    <row r="12" ht="15.75" customHeight="1">
      <c r="A12" s="105"/>
      <c r="B12" s="105"/>
      <c r="C12" s="105"/>
      <c r="D12" s="105"/>
      <c r="E12" s="105"/>
      <c r="F12" s="105"/>
      <c r="G12" s="105"/>
      <c r="H12" s="105"/>
      <c r="I12" s="111" t="str">
        <f>IF(LEN(VLOOKUP($L$5,CALEND!$A$2:$AF$13,I$11+1,FALSE))&gt;0,VLOOKUP($L$5,CALEND!$A$2:$AF$13,I$11+1,FALSE),"")</f>
        <v>lun</v>
      </c>
      <c r="J12" s="111" t="str">
        <f>IF(LEN(VLOOKUP($L$5,CALEND!$A$2:$AF$13,J$11+1,FALSE))&gt;0,VLOOKUP($L$5,CALEND!$A$2:$AF$13,J$11+1,FALSE),"")</f>
        <v>mar</v>
      </c>
      <c r="K12" s="111" t="str">
        <f>IF(LEN(VLOOKUP($L$5,CALEND!$A$2:$AF$13,K$11+1,FALSE))&gt;0,VLOOKUP($L$5,CALEND!$A$2:$AF$13,K$11+1,FALSE),"")</f>
        <v>mié</v>
      </c>
      <c r="L12" s="111" t="str">
        <f>IF(LEN(VLOOKUP($L$5,CALEND!$A$2:$AF$13,L$11+1,FALSE))&gt;0,VLOOKUP($L$5,CALEND!$A$2:$AF$13,L$11+1,FALSE),"")</f>
        <v>jue</v>
      </c>
      <c r="M12" s="111" t="str">
        <f>IF(LEN(VLOOKUP($L$5,CALEND!$A$2:$AF$13,M$11+1,FALSE))&gt;0,VLOOKUP($L$5,CALEND!$A$2:$AF$13,M$11+1,FALSE),"")</f>
        <v>vie</v>
      </c>
      <c r="N12" s="111" t="str">
        <f>IF(LEN(VLOOKUP($L$5,CALEND!$A$2:$AF$13,N$11+1,FALSE))&gt;0,VLOOKUP($L$5,CALEND!$A$2:$AF$13,N$11+1,FALSE),"")</f>
        <v>sáb</v>
      </c>
      <c r="O12" s="111" t="str">
        <f>IF(LEN(VLOOKUP($L$5,CALEND!$A$2:$AF$13,O$11+1,FALSE))&gt;0,VLOOKUP($L$5,CALEND!$A$2:$AF$13,O$11+1,FALSE),"")</f>
        <v>dom</v>
      </c>
      <c r="P12" s="111" t="str">
        <f>IF(LEN(VLOOKUP($L$5,CALEND!$A$2:$AF$13,P$11+1,FALSE))&gt;0,VLOOKUP($L$5,CALEND!$A$2:$AF$13,P$11+1,FALSE),"")</f>
        <v>lun</v>
      </c>
      <c r="Q12" s="111" t="str">
        <f>IF(LEN(VLOOKUP($L$5,CALEND!$A$2:$AF$13,Q$11+1,FALSE))&gt;0,VLOOKUP($L$5,CALEND!$A$2:$AF$13,Q$11+1,FALSE),"")</f>
        <v>mar</v>
      </c>
      <c r="R12" s="111" t="str">
        <f>IF(LEN(VLOOKUP($L$5,CALEND!$A$2:$AF$13,R$11+1,FALSE))&gt;0,VLOOKUP($L$5,CALEND!$A$2:$AF$13,R$11+1,FALSE),"")</f>
        <v>mié</v>
      </c>
      <c r="S12" s="111" t="str">
        <f>IF(LEN(VLOOKUP($L$5,CALEND!$A$2:$AF$13,S$11+1,FALSE))&gt;0,VLOOKUP($L$5,CALEND!$A$2:$AF$13,S$11+1,FALSE),"")</f>
        <v>jue</v>
      </c>
      <c r="T12" s="111" t="str">
        <f>IF(LEN(VLOOKUP($L$5,CALEND!$A$2:$AF$13,T$11+1,FALSE))&gt;0,VLOOKUP($L$5,CALEND!$A$2:$AF$13,T$11+1,FALSE),"")</f>
        <v>vie</v>
      </c>
      <c r="U12" s="111" t="str">
        <f>IF(LEN(VLOOKUP($L$5,CALEND!$A$2:$AF$13,U$11+1,FALSE))&gt;0,VLOOKUP($L$5,CALEND!$A$2:$AF$13,U$11+1,FALSE),"")</f>
        <v>sáb</v>
      </c>
      <c r="V12" s="111" t="str">
        <f>IF(LEN(VLOOKUP($L$5,CALEND!$A$2:$AF$13,V$11+1,FALSE))&gt;0,VLOOKUP($L$5,CALEND!$A$2:$AF$13,V$11+1,FALSE),"")</f>
        <v>dom</v>
      </c>
      <c r="W12" s="111" t="str">
        <f>IF(LEN(VLOOKUP($L$5,CALEND!$A$2:$AF$13,W$11+1,FALSE))&gt;0,VLOOKUP($L$5,CALEND!$A$2:$AF$13,W$11+1,FALSE),"")</f>
        <v>lun</v>
      </c>
      <c r="X12" s="111" t="str">
        <f>IF(LEN(VLOOKUP($L$5,CALEND!$A$2:$AF$13,X$11+1,FALSE))&gt;0,VLOOKUP($L$5,CALEND!$A$2:$AF$13,X$11+1,FALSE),"")</f>
        <v>mar</v>
      </c>
      <c r="Y12" s="111" t="str">
        <f>IF(LEN(VLOOKUP($L$5,CALEND!$A$2:$AF$13,Y$11+1,FALSE))&gt;0,VLOOKUP($L$5,CALEND!$A$2:$AF$13,Y$11+1,FALSE),"")</f>
        <v>mié</v>
      </c>
      <c r="Z12" s="111" t="str">
        <f>IF(LEN(VLOOKUP($L$5,CALEND!$A$2:$AF$13,Z$11+1,FALSE))&gt;0,VLOOKUP($L$5,CALEND!$A$2:$AF$13,Z$11+1,FALSE),"")</f>
        <v>jue</v>
      </c>
      <c r="AA12" s="111" t="str">
        <f>IF(LEN(VLOOKUP($L$5,CALEND!$A$2:$AF$13,AA$11+1,FALSE))&gt;0,VLOOKUP($L$5,CALEND!$A$2:$AF$13,AA$11+1,FALSE),"")</f>
        <v>vie</v>
      </c>
      <c r="AB12" s="111" t="str">
        <f>IF(LEN(VLOOKUP($L$5,CALEND!$A$2:$AF$13,AB$11+1,FALSE))&gt;0,VLOOKUP($L$5,CALEND!$A$2:$AF$13,AB$11+1,FALSE),"")</f>
        <v>sáb</v>
      </c>
      <c r="AC12" s="111" t="str">
        <f>IF(LEN(VLOOKUP($L$5,CALEND!$A$2:$AF$13,AC$11+1,FALSE))&gt;0,VLOOKUP($L$5,CALEND!$A$2:$AF$13,AC$11+1,FALSE),"")</f>
        <v>dom</v>
      </c>
      <c r="AD12" s="111" t="str">
        <f>IF(LEN(VLOOKUP($L$5,CALEND!$A$2:$AF$13,AD$11+1,FALSE))&gt;0,VLOOKUP($L$5,CALEND!$A$2:$AF$13,AD$11+1,FALSE),"")</f>
        <v>lun</v>
      </c>
      <c r="AE12" s="111" t="str">
        <f>IF(LEN(VLOOKUP($L$5,CALEND!$A$2:$AF$13,AE$11+1,FALSE))&gt;0,VLOOKUP($L$5,CALEND!$A$2:$AF$13,AE$11+1,FALSE),"")</f>
        <v>mar</v>
      </c>
      <c r="AF12" s="111" t="str">
        <f>IF(LEN(VLOOKUP($L$5,CALEND!$A$2:$AF$13,AF$11+1,FALSE))&gt;0,VLOOKUP($L$5,CALEND!$A$2:$AF$13,AF$11+1,FALSE),"")</f>
        <v>mié</v>
      </c>
      <c r="AG12" s="111" t="str">
        <f>IF(LEN(VLOOKUP($L$5,CALEND!$A$2:$AF$13,AG$11+1,FALSE))&gt;0,VLOOKUP($L$5,CALEND!$A$2:$AF$13,AG$11+1,FALSE),"")</f>
        <v>jue</v>
      </c>
      <c r="AH12" s="111" t="str">
        <f>IF(LEN(VLOOKUP($L$5,CALEND!$A$2:$AF$13,AH$11+1,FALSE))&gt;0,VLOOKUP($L$5,CALEND!$A$2:$AF$13,AH$11+1,FALSE),"")</f>
        <v>vie</v>
      </c>
      <c r="AI12" s="111" t="str">
        <f>IF(LEN(VLOOKUP($L$5,CALEND!$A$2:$AF$13,AI$11+1,FALSE))&gt;0,VLOOKUP($L$5,CALEND!$A$2:$AF$13,AI$11+1,FALSE),"")</f>
        <v>sáb</v>
      </c>
      <c r="AJ12" s="111" t="str">
        <f>IF(LEN(VLOOKUP($L$5,CALEND!$A$2:$AF$13,AJ$11+1,FALSE))&gt;0,VLOOKUP($L$5,CALEND!$A$2:$AF$13,AJ$11+1,FALSE),"")</f>
        <v>dom</v>
      </c>
      <c r="AK12" s="111" t="str">
        <f>IF(LEN(VLOOKUP($L$5,CALEND!$A$2:$AF$13,AK$11+1,FALSE))&gt;0,VLOOKUP($L$5,CALEND!$A$2:$AF$13,AK$11+1,FALSE),"")</f>
        <v>lun</v>
      </c>
      <c r="AL12" s="111" t="str">
        <f>IF(AL11="","",IF(LEN(VLOOKUP($L$5,CALEND!$A$2:$AF$13,AL$11+1,FALSE))&gt;0,VLOOKUP($L$5,CALEND!$A$2:$AF$13,AL$11+1,FALSE),""))</f>
        <v>mar</v>
      </c>
      <c r="AM12" s="111" t="str">
        <f>IF(AL11="","",IF(LEN(VLOOKUP($L$5,CALEND!$A$2:$AF$13,AM$11+1,FALSE))&gt;0,VLOOKUP($L$5,CALEND!$A$2:$AF$13,AM$11+1,FALSE),""))</f>
        <v>mié</v>
      </c>
      <c r="AN12" s="105"/>
      <c r="AO12" s="105"/>
      <c r="AP12" s="99"/>
      <c r="AQ12" s="160" t="s">
        <v>538</v>
      </c>
      <c r="AR12" s="161" t="s">
        <v>543</v>
      </c>
      <c r="AS12" s="161" t="s">
        <v>545</v>
      </c>
      <c r="AT12" s="162" t="s">
        <v>546</v>
      </c>
      <c r="AU12" s="163" t="s">
        <v>551</v>
      </c>
      <c r="AV12" s="163" t="s">
        <v>553</v>
      </c>
      <c r="AW12" s="163" t="s">
        <v>554</v>
      </c>
      <c r="AX12" s="102"/>
      <c r="AY12" s="102"/>
      <c r="AZ12" s="102"/>
      <c r="BA12" s="102"/>
      <c r="BB12" s="102"/>
      <c r="BC12" s="102"/>
      <c r="BD12" s="102"/>
      <c r="BE12" s="10" t="s">
        <v>555</v>
      </c>
      <c r="BF12" s="102"/>
      <c r="BG12" s="102"/>
    </row>
    <row r="13" ht="12.75" hidden="1" customHeight="1">
      <c r="A13" s="132"/>
      <c r="B13" s="132" t="str">
        <f>IF(LEN(C13)&gt;0,VLOOKUP($F$6,DATA!$A:$S,2,FALSE),"")</f>
        <v/>
      </c>
      <c r="C13" s="134" t="str">
        <f t="shared" ref="C13:C43" si="2">IF(LEN(E13)&gt;0,$G$5,"")</f>
        <v/>
      </c>
      <c r="D13" s="134"/>
      <c r="E13" s="136"/>
      <c r="F13" s="167"/>
      <c r="G13" s="168"/>
      <c r="H13" s="139"/>
      <c r="I13" s="144" t="str">
        <f t="shared" ref="I13:AM13" si="1">IF(AND(LEN($E13)&gt;0,I$12&lt;&gt;"sá.",I$12&lt;&gt;"do.",I$12&lt;&gt;""),"C","")</f>
        <v/>
      </c>
      <c r="J13" s="144" t="str">
        <f t="shared" si="1"/>
        <v/>
      </c>
      <c r="K13" s="144" t="str">
        <f t="shared" si="1"/>
        <v/>
      </c>
      <c r="L13" s="144" t="str">
        <f t="shared" si="1"/>
        <v/>
      </c>
      <c r="M13" s="144" t="str">
        <f t="shared" si="1"/>
        <v/>
      </c>
      <c r="N13" s="144" t="str">
        <f t="shared" si="1"/>
        <v/>
      </c>
      <c r="O13" s="144" t="str">
        <f t="shared" si="1"/>
        <v/>
      </c>
      <c r="P13" s="144" t="str">
        <f t="shared" si="1"/>
        <v/>
      </c>
      <c r="Q13" s="144" t="str">
        <f t="shared" si="1"/>
        <v/>
      </c>
      <c r="R13" s="144" t="str">
        <f t="shared" si="1"/>
        <v/>
      </c>
      <c r="S13" s="144" t="str">
        <f t="shared" si="1"/>
        <v/>
      </c>
      <c r="T13" s="144" t="str">
        <f t="shared" si="1"/>
        <v/>
      </c>
      <c r="U13" s="144" t="str">
        <f t="shared" si="1"/>
        <v/>
      </c>
      <c r="V13" s="144" t="str">
        <f t="shared" si="1"/>
        <v/>
      </c>
      <c r="W13" s="144" t="str">
        <f t="shared" si="1"/>
        <v/>
      </c>
      <c r="X13" s="144" t="str">
        <f t="shared" si="1"/>
        <v/>
      </c>
      <c r="Y13" s="144" t="str">
        <f t="shared" si="1"/>
        <v/>
      </c>
      <c r="Z13" s="144" t="str">
        <f t="shared" si="1"/>
        <v/>
      </c>
      <c r="AA13" s="144" t="str">
        <f t="shared" si="1"/>
        <v/>
      </c>
      <c r="AB13" s="144" t="str">
        <f t="shared" si="1"/>
        <v/>
      </c>
      <c r="AC13" s="144" t="str">
        <f t="shared" si="1"/>
        <v/>
      </c>
      <c r="AD13" s="144" t="str">
        <f t="shared" si="1"/>
        <v/>
      </c>
      <c r="AE13" s="144" t="str">
        <f t="shared" si="1"/>
        <v/>
      </c>
      <c r="AF13" s="144" t="str">
        <f t="shared" si="1"/>
        <v/>
      </c>
      <c r="AG13" s="144" t="str">
        <f t="shared" si="1"/>
        <v/>
      </c>
      <c r="AH13" s="144" t="str">
        <f t="shared" si="1"/>
        <v/>
      </c>
      <c r="AI13" s="144" t="str">
        <f t="shared" si="1"/>
        <v/>
      </c>
      <c r="AJ13" s="144" t="str">
        <f t="shared" si="1"/>
        <v/>
      </c>
      <c r="AK13" s="144" t="str">
        <f t="shared" si="1"/>
        <v/>
      </c>
      <c r="AL13" s="144" t="str">
        <f t="shared" si="1"/>
        <v/>
      </c>
      <c r="AM13" s="144" t="str">
        <f t="shared" si="1"/>
        <v/>
      </c>
      <c r="AN13" s="136" t="str">
        <f t="shared" ref="AN13:AN14" si="4">IF(OR(COUNTIF($I13:$AM13,"X")&gt;0,COUNTIF($I13:$AM13,"L")&gt;0),COUNTIF($I13:$AM13,"X")+COUNTIF($I13:$AM13,"L"),"")</f>
        <v/>
      </c>
      <c r="AO13" s="156"/>
      <c r="AP13" s="170"/>
      <c r="AQ13" s="171">
        <f>COUNTIF(J13:AM13,$AO$9)</f>
        <v>0</v>
      </c>
      <c r="AR13" s="171">
        <f>COUNTIF(J13:AM13,$AP$9)</f>
        <v>0</v>
      </c>
      <c r="AS13" s="171">
        <f>COUNTIF(J13:AM13,$AQ$9)</f>
        <v>0</v>
      </c>
      <c r="AT13" s="171">
        <f>COUNTIF(J13:AM13,$AR$9)</f>
        <v>0</v>
      </c>
      <c r="AU13" s="171">
        <f>COUNTIF(J13:AM13,$AS$9)</f>
        <v>0</v>
      </c>
      <c r="AV13" s="171">
        <f>COUNTIF(J13:AM13,$AT$9)</f>
        <v>0</v>
      </c>
      <c r="AW13" s="157"/>
      <c r="AX13" s="157"/>
      <c r="AY13" s="157"/>
      <c r="AZ13" s="157"/>
      <c r="BA13" s="157"/>
      <c r="BB13" s="157"/>
      <c r="BC13" s="157"/>
      <c r="BD13" s="157"/>
      <c r="BE13" s="10" t="s">
        <v>634</v>
      </c>
      <c r="BF13" s="157"/>
      <c r="BG13" s="157"/>
    </row>
    <row r="14" ht="14.25" customHeight="1">
      <c r="A14" s="132">
        <v>1.0</v>
      </c>
      <c r="B14" s="132" t="str">
        <f>IF(LEN(C14)&gt;0,VLOOKUP($F$6,DATA!$A:$S,2,FALSE),"")</f>
        <v/>
      </c>
      <c r="C14" s="134" t="str">
        <f t="shared" si="2"/>
        <v/>
      </c>
      <c r="D14" s="172"/>
      <c r="E14" s="136"/>
      <c r="F14" s="174"/>
      <c r="G14" s="174"/>
      <c r="H14" s="168"/>
      <c r="I14" s="144" t="str">
        <f t="shared" ref="I14:AM14" si="3">IF(AND(LEN($E14)&gt;0,I$12&lt;&gt;"sá.",I$12&lt;&gt;"do.",I$12&lt;&gt;""),"TR","")</f>
        <v/>
      </c>
      <c r="J14" s="144" t="str">
        <f t="shared" si="3"/>
        <v/>
      </c>
      <c r="K14" s="144" t="str">
        <f t="shared" si="3"/>
        <v/>
      </c>
      <c r="L14" s="144" t="str">
        <f t="shared" si="3"/>
        <v/>
      </c>
      <c r="M14" s="144" t="str">
        <f t="shared" si="3"/>
        <v/>
      </c>
      <c r="N14" s="144" t="str">
        <f t="shared" si="3"/>
        <v/>
      </c>
      <c r="O14" s="144" t="str">
        <f t="shared" si="3"/>
        <v/>
      </c>
      <c r="P14" s="144" t="str">
        <f t="shared" si="3"/>
        <v/>
      </c>
      <c r="Q14" s="144" t="str">
        <f t="shared" si="3"/>
        <v/>
      </c>
      <c r="R14" s="144" t="str">
        <f t="shared" si="3"/>
        <v/>
      </c>
      <c r="S14" s="144" t="str">
        <f t="shared" si="3"/>
        <v/>
      </c>
      <c r="T14" s="144" t="str">
        <f t="shared" si="3"/>
        <v/>
      </c>
      <c r="U14" s="144" t="str">
        <f t="shared" si="3"/>
        <v/>
      </c>
      <c r="V14" s="144" t="str">
        <f t="shared" si="3"/>
        <v/>
      </c>
      <c r="W14" s="144" t="str">
        <f t="shared" si="3"/>
        <v/>
      </c>
      <c r="X14" s="144" t="str">
        <f t="shared" si="3"/>
        <v/>
      </c>
      <c r="Y14" s="144" t="str">
        <f t="shared" si="3"/>
        <v/>
      </c>
      <c r="Z14" s="144" t="str">
        <f t="shared" si="3"/>
        <v/>
      </c>
      <c r="AA14" s="144" t="str">
        <f t="shared" si="3"/>
        <v/>
      </c>
      <c r="AB14" s="144" t="str">
        <f t="shared" si="3"/>
        <v/>
      </c>
      <c r="AC14" s="144" t="str">
        <f t="shared" si="3"/>
        <v/>
      </c>
      <c r="AD14" s="144" t="str">
        <f t="shared" si="3"/>
        <v/>
      </c>
      <c r="AE14" s="144" t="str">
        <f t="shared" si="3"/>
        <v/>
      </c>
      <c r="AF14" s="144" t="str">
        <f t="shared" si="3"/>
        <v/>
      </c>
      <c r="AG14" s="144" t="str">
        <f t="shared" si="3"/>
        <v/>
      </c>
      <c r="AH14" s="144" t="str">
        <f t="shared" si="3"/>
        <v/>
      </c>
      <c r="AI14" s="144" t="str">
        <f t="shared" si="3"/>
        <v/>
      </c>
      <c r="AJ14" s="144" t="str">
        <f t="shared" si="3"/>
        <v/>
      </c>
      <c r="AK14" s="144" t="str">
        <f t="shared" si="3"/>
        <v/>
      </c>
      <c r="AL14" s="144" t="str">
        <f t="shared" si="3"/>
        <v/>
      </c>
      <c r="AM14" s="144" t="str">
        <f t="shared" si="3"/>
        <v/>
      </c>
      <c r="AN14" s="136" t="str">
        <f t="shared" si="4"/>
        <v/>
      </c>
      <c r="AO14" s="156"/>
      <c r="AP14" s="170"/>
      <c r="AQ14" s="171">
        <f>COUNTIF(I14:AM14,$AQ$12)</f>
        <v>0</v>
      </c>
      <c r="AR14" s="171">
        <f>COUNTIF(I14:AM14,$AR$12)</f>
        <v>0</v>
      </c>
      <c r="AS14" s="171">
        <f>COUNTIF(I14:AM14,$AS$12)</f>
        <v>0</v>
      </c>
      <c r="AT14" s="171">
        <f t="shared" ref="AT14:AT43" si="6">COUNTIF(I14:AM14,$AT$12)</f>
        <v>0</v>
      </c>
      <c r="AU14" s="171">
        <f t="shared" ref="AU14:AU43" si="7">COUNTIF(I14:AM14,$AU$12)</f>
        <v>0</v>
      </c>
      <c r="AV14" s="171">
        <f t="shared" ref="AV14:AV43" si="8">COUNTIF(I14:AM14,$AV$12)</f>
        <v>0</v>
      </c>
      <c r="AW14" s="171">
        <f t="shared" ref="AW14:AW43" si="9">SUM(I14:AM14)</f>
        <v>0</v>
      </c>
      <c r="AX14" s="157"/>
      <c r="AY14" s="157"/>
      <c r="AZ14" s="157"/>
      <c r="BA14" s="157"/>
      <c r="BB14" s="157"/>
      <c r="BC14" s="157">
        <f t="shared" ref="BC14:BC43" si="10">COUNTIF(I14:AM14,"T")</f>
        <v>0</v>
      </c>
      <c r="BD14" s="157">
        <f t="shared" ref="BD14:BD43" si="11">INT(BC14/3)</f>
        <v>0</v>
      </c>
      <c r="BE14" s="10" t="s">
        <v>709</v>
      </c>
      <c r="BF14" s="157"/>
      <c r="BG14" s="157"/>
    </row>
    <row r="15" ht="14.25" customHeight="1">
      <c r="A15" s="132">
        <v>2.0</v>
      </c>
      <c r="B15" s="132" t="str">
        <f>IF(LEN(C15)&gt;0,VLOOKUP($F$6,DATA!$A:$S,2,FALSE),"")</f>
        <v/>
      </c>
      <c r="C15" s="134" t="str">
        <f t="shared" si="2"/>
        <v/>
      </c>
      <c r="D15" s="172"/>
      <c r="E15" s="136"/>
      <c r="F15" s="174"/>
      <c r="G15" s="174"/>
      <c r="H15" s="168"/>
      <c r="I15" s="144" t="str">
        <f t="shared" ref="I15:AM15" si="5">IF(AND(LEN($E15)&gt;0,I$12&lt;&gt;"sá.",I$12&lt;&gt;"do.",I$12&lt;&gt;""),"TR","")</f>
        <v/>
      </c>
      <c r="J15" s="144" t="str">
        <f t="shared" si="5"/>
        <v/>
      </c>
      <c r="K15" s="144" t="str">
        <f t="shared" si="5"/>
        <v/>
      </c>
      <c r="L15" s="144" t="str">
        <f t="shared" si="5"/>
        <v/>
      </c>
      <c r="M15" s="144" t="str">
        <f t="shared" si="5"/>
        <v/>
      </c>
      <c r="N15" s="144" t="str">
        <f t="shared" si="5"/>
        <v/>
      </c>
      <c r="O15" s="144" t="str">
        <f t="shared" si="5"/>
        <v/>
      </c>
      <c r="P15" s="144" t="str">
        <f t="shared" si="5"/>
        <v/>
      </c>
      <c r="Q15" s="144" t="str">
        <f t="shared" si="5"/>
        <v/>
      </c>
      <c r="R15" s="144" t="str">
        <f t="shared" si="5"/>
        <v/>
      </c>
      <c r="S15" s="144" t="str">
        <f t="shared" si="5"/>
        <v/>
      </c>
      <c r="T15" s="144" t="str">
        <f t="shared" si="5"/>
        <v/>
      </c>
      <c r="U15" s="144" t="str">
        <f t="shared" si="5"/>
        <v/>
      </c>
      <c r="V15" s="144" t="str">
        <f t="shared" si="5"/>
        <v/>
      </c>
      <c r="W15" s="144" t="str">
        <f t="shared" si="5"/>
        <v/>
      </c>
      <c r="X15" s="144" t="str">
        <f t="shared" si="5"/>
        <v/>
      </c>
      <c r="Y15" s="144" t="str">
        <f t="shared" si="5"/>
        <v/>
      </c>
      <c r="Z15" s="144" t="str">
        <f t="shared" si="5"/>
        <v/>
      </c>
      <c r="AA15" s="144" t="str">
        <f t="shared" si="5"/>
        <v/>
      </c>
      <c r="AB15" s="144" t="str">
        <f t="shared" si="5"/>
        <v/>
      </c>
      <c r="AC15" s="144" t="str">
        <f t="shared" si="5"/>
        <v/>
      </c>
      <c r="AD15" s="144" t="str">
        <f t="shared" si="5"/>
        <v/>
      </c>
      <c r="AE15" s="144" t="str">
        <f t="shared" si="5"/>
        <v/>
      </c>
      <c r="AF15" s="144" t="str">
        <f t="shared" si="5"/>
        <v/>
      </c>
      <c r="AG15" s="144" t="str">
        <f t="shared" si="5"/>
        <v/>
      </c>
      <c r="AH15" s="144" t="str">
        <f t="shared" si="5"/>
        <v/>
      </c>
      <c r="AI15" s="144" t="str">
        <f t="shared" si="5"/>
        <v/>
      </c>
      <c r="AJ15" s="144" t="str">
        <f t="shared" si="5"/>
        <v/>
      </c>
      <c r="AK15" s="144" t="str">
        <f t="shared" si="5"/>
        <v/>
      </c>
      <c r="AL15" s="144" t="str">
        <f t="shared" si="5"/>
        <v/>
      </c>
      <c r="AM15" s="144" t="str">
        <f t="shared" si="5"/>
        <v/>
      </c>
      <c r="AN15" s="6"/>
      <c r="AO15" s="6"/>
      <c r="AP15" s="6"/>
      <c r="AQ15" s="6"/>
      <c r="AR15" s="6"/>
      <c r="AS15" s="6"/>
      <c r="AT15" s="171">
        <f t="shared" si="6"/>
        <v>0</v>
      </c>
      <c r="AU15" s="171">
        <f t="shared" si="7"/>
        <v>0</v>
      </c>
      <c r="AV15" s="171">
        <f t="shared" si="8"/>
        <v>0</v>
      </c>
      <c r="AW15" s="171">
        <f t="shared" si="9"/>
        <v>0</v>
      </c>
      <c r="AX15" s="157"/>
      <c r="AY15" s="157"/>
      <c r="AZ15" s="157"/>
      <c r="BA15" s="157"/>
      <c r="BB15" s="157"/>
      <c r="BC15" s="157">
        <f t="shared" si="10"/>
        <v>0</v>
      </c>
      <c r="BD15" s="157">
        <f t="shared" si="11"/>
        <v>0</v>
      </c>
      <c r="BE15" s="10" t="s">
        <v>757</v>
      </c>
      <c r="BF15" s="157"/>
      <c r="BG15" s="157"/>
    </row>
    <row r="16" ht="14.25" customHeight="1">
      <c r="A16" s="132">
        <v>3.0</v>
      </c>
      <c r="B16" s="132" t="str">
        <f>IF(LEN(C16)&gt;0,VLOOKUP($F$6,DATA!$A:$S,2,FALSE),"")</f>
        <v/>
      </c>
      <c r="C16" s="134" t="str">
        <f t="shared" si="2"/>
        <v/>
      </c>
      <c r="D16" s="172"/>
      <c r="E16" s="136"/>
      <c r="F16" s="174"/>
      <c r="G16" s="174"/>
      <c r="H16" s="168"/>
      <c r="I16" s="144" t="str">
        <f t="shared" ref="I16:AM16" si="12">IF(AND(LEN($E16)&gt;0,I$12&lt;&gt;"sá.",I$12&lt;&gt;"do.",I$12&lt;&gt;""),"TR","")</f>
        <v/>
      </c>
      <c r="J16" s="144" t="str">
        <f t="shared" si="12"/>
        <v/>
      </c>
      <c r="K16" s="144" t="str">
        <f t="shared" si="12"/>
        <v/>
      </c>
      <c r="L16" s="144" t="str">
        <f t="shared" si="12"/>
        <v/>
      </c>
      <c r="M16" s="144" t="str">
        <f t="shared" si="12"/>
        <v/>
      </c>
      <c r="N16" s="144" t="str">
        <f t="shared" si="12"/>
        <v/>
      </c>
      <c r="O16" s="144" t="str">
        <f t="shared" si="12"/>
        <v/>
      </c>
      <c r="P16" s="144" t="str">
        <f t="shared" si="12"/>
        <v/>
      </c>
      <c r="Q16" s="144" t="str">
        <f t="shared" si="12"/>
        <v/>
      </c>
      <c r="R16" s="144" t="str">
        <f t="shared" si="12"/>
        <v/>
      </c>
      <c r="S16" s="144" t="str">
        <f t="shared" si="12"/>
        <v/>
      </c>
      <c r="T16" s="144" t="str">
        <f t="shared" si="12"/>
        <v/>
      </c>
      <c r="U16" s="144" t="str">
        <f t="shared" si="12"/>
        <v/>
      </c>
      <c r="V16" s="144" t="str">
        <f t="shared" si="12"/>
        <v/>
      </c>
      <c r="W16" s="144" t="str">
        <f t="shared" si="12"/>
        <v/>
      </c>
      <c r="X16" s="144" t="str">
        <f t="shared" si="12"/>
        <v/>
      </c>
      <c r="Y16" s="144" t="str">
        <f t="shared" si="12"/>
        <v/>
      </c>
      <c r="Z16" s="144" t="str">
        <f t="shared" si="12"/>
        <v/>
      </c>
      <c r="AA16" s="144" t="str">
        <f t="shared" si="12"/>
        <v/>
      </c>
      <c r="AB16" s="144" t="str">
        <f t="shared" si="12"/>
        <v/>
      </c>
      <c r="AC16" s="144" t="str">
        <f t="shared" si="12"/>
        <v/>
      </c>
      <c r="AD16" s="144" t="str">
        <f t="shared" si="12"/>
        <v/>
      </c>
      <c r="AE16" s="144" t="str">
        <f t="shared" si="12"/>
        <v/>
      </c>
      <c r="AF16" s="144" t="str">
        <f t="shared" si="12"/>
        <v/>
      </c>
      <c r="AG16" s="144" t="str">
        <f t="shared" si="12"/>
        <v/>
      </c>
      <c r="AH16" s="144" t="str">
        <f t="shared" si="12"/>
        <v/>
      </c>
      <c r="AI16" s="144" t="str">
        <f t="shared" si="12"/>
        <v/>
      </c>
      <c r="AJ16" s="144" t="str">
        <f t="shared" si="12"/>
        <v/>
      </c>
      <c r="AK16" s="144" t="str">
        <f t="shared" si="12"/>
        <v/>
      </c>
      <c r="AL16" s="144" t="str">
        <f t="shared" si="12"/>
        <v/>
      </c>
      <c r="AM16" s="144" t="str">
        <f t="shared" si="12"/>
        <v/>
      </c>
      <c r="AN16" s="6"/>
      <c r="AO16" s="6"/>
      <c r="AP16" s="6"/>
      <c r="AQ16" s="6"/>
      <c r="AR16" s="6"/>
      <c r="AS16" s="6"/>
      <c r="AT16" s="171">
        <f t="shared" si="6"/>
        <v>0</v>
      </c>
      <c r="AU16" s="171">
        <f t="shared" si="7"/>
        <v>0</v>
      </c>
      <c r="AV16" s="171">
        <f t="shared" si="8"/>
        <v>0</v>
      </c>
      <c r="AW16" s="171">
        <f t="shared" si="9"/>
        <v>0</v>
      </c>
      <c r="AX16" s="157"/>
      <c r="AY16" s="157"/>
      <c r="AZ16" s="157"/>
      <c r="BA16" s="157"/>
      <c r="BB16" s="157"/>
      <c r="BC16" s="157">
        <f t="shared" si="10"/>
        <v>0</v>
      </c>
      <c r="BD16" s="157">
        <f t="shared" si="11"/>
        <v>0</v>
      </c>
      <c r="BE16" s="10" t="s">
        <v>798</v>
      </c>
      <c r="BF16" s="157"/>
      <c r="BG16" s="157"/>
    </row>
    <row r="17" ht="14.25" customHeight="1">
      <c r="A17" s="132">
        <v>4.0</v>
      </c>
      <c r="B17" s="132" t="str">
        <f>IF(LEN(C17)&gt;0,VLOOKUP($F$6,DATA!$A:$S,2,FALSE),"")</f>
        <v/>
      </c>
      <c r="C17" s="134" t="str">
        <f t="shared" si="2"/>
        <v/>
      </c>
      <c r="D17" s="172"/>
      <c r="E17" s="136"/>
      <c r="F17" s="174"/>
      <c r="G17" s="174"/>
      <c r="H17" s="168"/>
      <c r="I17" s="144" t="str">
        <f t="shared" ref="I17:AM17" si="13">IF(AND(LEN($E17)&gt;0,I$12&lt;&gt;"sá.",I$12&lt;&gt;"do.",I$12&lt;&gt;""),"TR","")</f>
        <v/>
      </c>
      <c r="J17" s="144" t="str">
        <f t="shared" si="13"/>
        <v/>
      </c>
      <c r="K17" s="144" t="str">
        <f t="shared" si="13"/>
        <v/>
      </c>
      <c r="L17" s="144" t="str">
        <f t="shared" si="13"/>
        <v/>
      </c>
      <c r="M17" s="144" t="str">
        <f t="shared" si="13"/>
        <v/>
      </c>
      <c r="N17" s="144" t="str">
        <f t="shared" si="13"/>
        <v/>
      </c>
      <c r="O17" s="144" t="str">
        <f t="shared" si="13"/>
        <v/>
      </c>
      <c r="P17" s="144" t="str">
        <f t="shared" si="13"/>
        <v/>
      </c>
      <c r="Q17" s="144" t="str">
        <f t="shared" si="13"/>
        <v/>
      </c>
      <c r="R17" s="144" t="str">
        <f t="shared" si="13"/>
        <v/>
      </c>
      <c r="S17" s="144" t="str">
        <f t="shared" si="13"/>
        <v/>
      </c>
      <c r="T17" s="144" t="str">
        <f t="shared" si="13"/>
        <v/>
      </c>
      <c r="U17" s="144" t="str">
        <f t="shared" si="13"/>
        <v/>
      </c>
      <c r="V17" s="144" t="str">
        <f t="shared" si="13"/>
        <v/>
      </c>
      <c r="W17" s="144" t="str">
        <f t="shared" si="13"/>
        <v/>
      </c>
      <c r="X17" s="144" t="str">
        <f t="shared" si="13"/>
        <v/>
      </c>
      <c r="Y17" s="144" t="str">
        <f t="shared" si="13"/>
        <v/>
      </c>
      <c r="Z17" s="144" t="str">
        <f t="shared" si="13"/>
        <v/>
      </c>
      <c r="AA17" s="144" t="str">
        <f t="shared" si="13"/>
        <v/>
      </c>
      <c r="AB17" s="144" t="str">
        <f t="shared" si="13"/>
        <v/>
      </c>
      <c r="AC17" s="144" t="str">
        <f t="shared" si="13"/>
        <v/>
      </c>
      <c r="AD17" s="144" t="str">
        <f t="shared" si="13"/>
        <v/>
      </c>
      <c r="AE17" s="144" t="str">
        <f t="shared" si="13"/>
        <v/>
      </c>
      <c r="AF17" s="144" t="str">
        <f t="shared" si="13"/>
        <v/>
      </c>
      <c r="AG17" s="144" t="str">
        <f t="shared" si="13"/>
        <v/>
      </c>
      <c r="AH17" s="144" t="str">
        <f t="shared" si="13"/>
        <v/>
      </c>
      <c r="AI17" s="144" t="str">
        <f t="shared" si="13"/>
        <v/>
      </c>
      <c r="AJ17" s="144" t="str">
        <f t="shared" si="13"/>
        <v/>
      </c>
      <c r="AK17" s="144" t="str">
        <f t="shared" si="13"/>
        <v/>
      </c>
      <c r="AL17" s="144" t="str">
        <f t="shared" si="13"/>
        <v/>
      </c>
      <c r="AM17" s="144" t="str">
        <f t="shared" si="13"/>
        <v/>
      </c>
      <c r="AN17" s="136" t="str">
        <f t="shared" ref="AN17:AN41" si="15">IF(OR(COUNTIF($I17:$AM17,"X")&gt;0,COUNTIF($I17:$AM17,"L")&gt;0),COUNTIF($I17:$AM17,"X")+COUNTIF($I17:$AM17,"L"),"")</f>
        <v/>
      </c>
      <c r="AO17" s="156"/>
      <c r="AP17" s="170"/>
      <c r="AQ17" s="171">
        <f t="shared" ref="AQ17:AQ43" si="16">COUNTIF(I17:AM17,$AQ$12)</f>
        <v>0</v>
      </c>
      <c r="AR17" s="171">
        <f t="shared" ref="AR17:AR43" si="17">COUNTIF(I17:AM17,$AR$12)</f>
        <v>0</v>
      </c>
      <c r="AS17" s="171">
        <f t="shared" ref="AS17:AS43" si="18">COUNTIF(I17:AM17,$AS$12)</f>
        <v>0</v>
      </c>
      <c r="AT17" s="171">
        <f t="shared" si="6"/>
        <v>0</v>
      </c>
      <c r="AU17" s="171">
        <f t="shared" si="7"/>
        <v>0</v>
      </c>
      <c r="AV17" s="171">
        <f t="shared" si="8"/>
        <v>0</v>
      </c>
      <c r="AW17" s="171">
        <f t="shared" si="9"/>
        <v>0</v>
      </c>
      <c r="AX17" s="157"/>
      <c r="AY17" s="157"/>
      <c r="AZ17" s="157"/>
      <c r="BA17" s="157"/>
      <c r="BB17" s="157"/>
      <c r="BC17" s="157">
        <f t="shared" si="10"/>
        <v>0</v>
      </c>
      <c r="BD17" s="157">
        <f t="shared" si="11"/>
        <v>0</v>
      </c>
      <c r="BE17" s="157"/>
      <c r="BF17" s="157"/>
      <c r="BG17" s="157"/>
    </row>
    <row r="18" ht="14.25" customHeight="1">
      <c r="A18" s="132">
        <v>5.0</v>
      </c>
      <c r="B18" s="132" t="str">
        <f>IF(LEN(C18)&gt;0,VLOOKUP($F$6,DATA!$A:$S,2,FALSE),"")</f>
        <v/>
      </c>
      <c r="C18" s="134" t="str">
        <f t="shared" si="2"/>
        <v/>
      </c>
      <c r="D18" s="172"/>
      <c r="E18" s="136"/>
      <c r="F18" s="174"/>
      <c r="G18" s="174"/>
      <c r="H18" s="168"/>
      <c r="I18" s="144" t="str">
        <f t="shared" ref="I18:AM18" si="14">IF(AND(LEN($E18)&gt;0,I$12&lt;&gt;"sá.",I$12&lt;&gt;"do.",I$12&lt;&gt;""),"TR","")</f>
        <v/>
      </c>
      <c r="J18" s="144" t="str">
        <f t="shared" si="14"/>
        <v/>
      </c>
      <c r="K18" s="144" t="str">
        <f t="shared" si="14"/>
        <v/>
      </c>
      <c r="L18" s="144" t="str">
        <f t="shared" si="14"/>
        <v/>
      </c>
      <c r="M18" s="144" t="str">
        <f t="shared" si="14"/>
        <v/>
      </c>
      <c r="N18" s="144" t="str">
        <f t="shared" si="14"/>
        <v/>
      </c>
      <c r="O18" s="144" t="str">
        <f t="shared" si="14"/>
        <v/>
      </c>
      <c r="P18" s="144" t="str">
        <f t="shared" si="14"/>
        <v/>
      </c>
      <c r="Q18" s="144" t="str">
        <f t="shared" si="14"/>
        <v/>
      </c>
      <c r="R18" s="144" t="str">
        <f t="shared" si="14"/>
        <v/>
      </c>
      <c r="S18" s="144" t="str">
        <f t="shared" si="14"/>
        <v/>
      </c>
      <c r="T18" s="144" t="str">
        <f t="shared" si="14"/>
        <v/>
      </c>
      <c r="U18" s="144" t="str">
        <f t="shared" si="14"/>
        <v/>
      </c>
      <c r="V18" s="144" t="str">
        <f t="shared" si="14"/>
        <v/>
      </c>
      <c r="W18" s="144" t="str">
        <f t="shared" si="14"/>
        <v/>
      </c>
      <c r="X18" s="144" t="str">
        <f t="shared" si="14"/>
        <v/>
      </c>
      <c r="Y18" s="144" t="str">
        <f t="shared" si="14"/>
        <v/>
      </c>
      <c r="Z18" s="144" t="str">
        <f t="shared" si="14"/>
        <v/>
      </c>
      <c r="AA18" s="144" t="str">
        <f t="shared" si="14"/>
        <v/>
      </c>
      <c r="AB18" s="144" t="str">
        <f t="shared" si="14"/>
        <v/>
      </c>
      <c r="AC18" s="144" t="str">
        <f t="shared" si="14"/>
        <v/>
      </c>
      <c r="AD18" s="144" t="str">
        <f t="shared" si="14"/>
        <v/>
      </c>
      <c r="AE18" s="144" t="str">
        <f t="shared" si="14"/>
        <v/>
      </c>
      <c r="AF18" s="144" t="str">
        <f t="shared" si="14"/>
        <v/>
      </c>
      <c r="AG18" s="144" t="str">
        <f t="shared" si="14"/>
        <v/>
      </c>
      <c r="AH18" s="144" t="str">
        <f t="shared" si="14"/>
        <v/>
      </c>
      <c r="AI18" s="144" t="str">
        <f t="shared" si="14"/>
        <v/>
      </c>
      <c r="AJ18" s="144" t="str">
        <f t="shared" si="14"/>
        <v/>
      </c>
      <c r="AK18" s="144" t="str">
        <f t="shared" si="14"/>
        <v/>
      </c>
      <c r="AL18" s="144" t="str">
        <f t="shared" si="14"/>
        <v/>
      </c>
      <c r="AM18" s="144" t="str">
        <f t="shared" si="14"/>
        <v/>
      </c>
      <c r="AN18" s="136" t="str">
        <f t="shared" si="15"/>
        <v/>
      </c>
      <c r="AO18" s="156"/>
      <c r="AP18" s="170"/>
      <c r="AQ18" s="171">
        <f t="shared" si="16"/>
        <v>0</v>
      </c>
      <c r="AR18" s="171">
        <f t="shared" si="17"/>
        <v>0</v>
      </c>
      <c r="AS18" s="171">
        <f t="shared" si="18"/>
        <v>0</v>
      </c>
      <c r="AT18" s="171">
        <f t="shared" si="6"/>
        <v>0</v>
      </c>
      <c r="AU18" s="171">
        <f t="shared" si="7"/>
        <v>0</v>
      </c>
      <c r="AV18" s="171">
        <f t="shared" si="8"/>
        <v>0</v>
      </c>
      <c r="AW18" s="171">
        <f t="shared" si="9"/>
        <v>0</v>
      </c>
      <c r="AX18" s="157"/>
      <c r="AY18" s="157"/>
      <c r="AZ18" s="157"/>
      <c r="BA18" s="157"/>
      <c r="BB18" s="157"/>
      <c r="BC18" s="157">
        <f t="shared" si="10"/>
        <v>0</v>
      </c>
      <c r="BD18" s="157">
        <f t="shared" si="11"/>
        <v>0</v>
      </c>
      <c r="BE18" s="157"/>
      <c r="BF18" s="157"/>
      <c r="BG18" s="157"/>
    </row>
    <row r="19" ht="14.25" customHeight="1">
      <c r="A19" s="132">
        <v>6.0</v>
      </c>
      <c r="B19" s="132" t="str">
        <f>IF(LEN(C19)&gt;0,VLOOKUP($F$6,DATA!$A:$S,2,FALSE),"")</f>
        <v/>
      </c>
      <c r="C19" s="134" t="str">
        <f t="shared" si="2"/>
        <v/>
      </c>
      <c r="D19" s="172"/>
      <c r="E19" s="136"/>
      <c r="F19" s="174"/>
      <c r="G19" s="174"/>
      <c r="H19" s="168"/>
      <c r="I19" s="144" t="str">
        <f t="shared" ref="I19:AM19" si="19">IF(AND(LEN($E19)&gt;0,I$12&lt;&gt;"sá.",I$12&lt;&gt;"do.",I$12&lt;&gt;""),"TR","")</f>
        <v/>
      </c>
      <c r="J19" s="144" t="str">
        <f t="shared" si="19"/>
        <v/>
      </c>
      <c r="K19" s="144" t="str">
        <f t="shared" si="19"/>
        <v/>
      </c>
      <c r="L19" s="144" t="str">
        <f t="shared" si="19"/>
        <v/>
      </c>
      <c r="M19" s="144" t="str">
        <f t="shared" si="19"/>
        <v/>
      </c>
      <c r="N19" s="144" t="str">
        <f t="shared" si="19"/>
        <v/>
      </c>
      <c r="O19" s="144" t="str">
        <f t="shared" si="19"/>
        <v/>
      </c>
      <c r="P19" s="144" t="str">
        <f t="shared" si="19"/>
        <v/>
      </c>
      <c r="Q19" s="144" t="str">
        <f t="shared" si="19"/>
        <v/>
      </c>
      <c r="R19" s="144" t="str">
        <f t="shared" si="19"/>
        <v/>
      </c>
      <c r="S19" s="144" t="str">
        <f t="shared" si="19"/>
        <v/>
      </c>
      <c r="T19" s="144" t="str">
        <f t="shared" si="19"/>
        <v/>
      </c>
      <c r="U19" s="144" t="str">
        <f t="shared" si="19"/>
        <v/>
      </c>
      <c r="V19" s="144" t="str">
        <f t="shared" si="19"/>
        <v/>
      </c>
      <c r="W19" s="144" t="str">
        <f t="shared" si="19"/>
        <v/>
      </c>
      <c r="X19" s="144" t="str">
        <f t="shared" si="19"/>
        <v/>
      </c>
      <c r="Y19" s="144" t="str">
        <f t="shared" si="19"/>
        <v/>
      </c>
      <c r="Z19" s="144" t="str">
        <f t="shared" si="19"/>
        <v/>
      </c>
      <c r="AA19" s="144" t="str">
        <f t="shared" si="19"/>
        <v/>
      </c>
      <c r="AB19" s="144" t="str">
        <f t="shared" si="19"/>
        <v/>
      </c>
      <c r="AC19" s="144" t="str">
        <f t="shared" si="19"/>
        <v/>
      </c>
      <c r="AD19" s="144" t="str">
        <f t="shared" si="19"/>
        <v/>
      </c>
      <c r="AE19" s="144" t="str">
        <f t="shared" si="19"/>
        <v/>
      </c>
      <c r="AF19" s="144" t="str">
        <f t="shared" si="19"/>
        <v/>
      </c>
      <c r="AG19" s="144" t="str">
        <f t="shared" si="19"/>
        <v/>
      </c>
      <c r="AH19" s="144" t="str">
        <f t="shared" si="19"/>
        <v/>
      </c>
      <c r="AI19" s="144" t="str">
        <f t="shared" si="19"/>
        <v/>
      </c>
      <c r="AJ19" s="144" t="str">
        <f t="shared" si="19"/>
        <v/>
      </c>
      <c r="AK19" s="144" t="str">
        <f t="shared" si="19"/>
        <v/>
      </c>
      <c r="AL19" s="144" t="str">
        <f t="shared" si="19"/>
        <v/>
      </c>
      <c r="AM19" s="144" t="str">
        <f t="shared" si="19"/>
        <v/>
      </c>
      <c r="AN19" s="136" t="str">
        <f t="shared" si="15"/>
        <v/>
      </c>
      <c r="AO19" s="156"/>
      <c r="AP19" s="170"/>
      <c r="AQ19" s="171">
        <f t="shared" si="16"/>
        <v>0</v>
      </c>
      <c r="AR19" s="171">
        <f t="shared" si="17"/>
        <v>0</v>
      </c>
      <c r="AS19" s="171">
        <f t="shared" si="18"/>
        <v>0</v>
      </c>
      <c r="AT19" s="171">
        <f t="shared" si="6"/>
        <v>0</v>
      </c>
      <c r="AU19" s="171">
        <f t="shared" si="7"/>
        <v>0</v>
      </c>
      <c r="AV19" s="171">
        <f t="shared" si="8"/>
        <v>0</v>
      </c>
      <c r="AW19" s="171">
        <f t="shared" si="9"/>
        <v>0</v>
      </c>
      <c r="AX19" s="157"/>
      <c r="AY19" s="157"/>
      <c r="AZ19" s="157"/>
      <c r="BA19" s="157"/>
      <c r="BB19" s="157"/>
      <c r="BC19" s="157">
        <f t="shared" si="10"/>
        <v>0</v>
      </c>
      <c r="BD19" s="157">
        <f t="shared" si="11"/>
        <v>0</v>
      </c>
      <c r="BE19" s="157"/>
      <c r="BF19" s="157"/>
      <c r="BG19" s="157"/>
    </row>
    <row r="20" ht="14.25" customHeight="1">
      <c r="A20" s="132">
        <v>7.0</v>
      </c>
      <c r="B20" s="132" t="str">
        <f>IF(LEN(C20)&gt;0,VLOOKUP($F$6,DATA!$A:$S,2,FALSE),"")</f>
        <v/>
      </c>
      <c r="C20" s="134" t="str">
        <f t="shared" si="2"/>
        <v/>
      </c>
      <c r="D20" s="172"/>
      <c r="E20" s="136"/>
      <c r="F20" s="174"/>
      <c r="G20" s="174"/>
      <c r="H20" s="168"/>
      <c r="I20" s="144" t="str">
        <f t="shared" ref="I20:AM20" si="20">IF(AND(LEN($E20)&gt;0,I$12&lt;&gt;"sá.",I$12&lt;&gt;"do.",I$12&lt;&gt;""),"TR","")</f>
        <v/>
      </c>
      <c r="J20" s="144" t="str">
        <f t="shared" si="20"/>
        <v/>
      </c>
      <c r="K20" s="144" t="str">
        <f t="shared" si="20"/>
        <v/>
      </c>
      <c r="L20" s="144" t="str">
        <f t="shared" si="20"/>
        <v/>
      </c>
      <c r="M20" s="144" t="str">
        <f t="shared" si="20"/>
        <v/>
      </c>
      <c r="N20" s="144" t="str">
        <f t="shared" si="20"/>
        <v/>
      </c>
      <c r="O20" s="144" t="str">
        <f t="shared" si="20"/>
        <v/>
      </c>
      <c r="P20" s="144" t="str">
        <f t="shared" si="20"/>
        <v/>
      </c>
      <c r="Q20" s="144" t="str">
        <f t="shared" si="20"/>
        <v/>
      </c>
      <c r="R20" s="144" t="str">
        <f t="shared" si="20"/>
        <v/>
      </c>
      <c r="S20" s="144" t="str">
        <f t="shared" si="20"/>
        <v/>
      </c>
      <c r="T20" s="144" t="str">
        <f t="shared" si="20"/>
        <v/>
      </c>
      <c r="U20" s="144" t="str">
        <f t="shared" si="20"/>
        <v/>
      </c>
      <c r="V20" s="144" t="str">
        <f t="shared" si="20"/>
        <v/>
      </c>
      <c r="W20" s="144" t="str">
        <f t="shared" si="20"/>
        <v/>
      </c>
      <c r="X20" s="144" t="str">
        <f t="shared" si="20"/>
        <v/>
      </c>
      <c r="Y20" s="144" t="str">
        <f t="shared" si="20"/>
        <v/>
      </c>
      <c r="Z20" s="144" t="str">
        <f t="shared" si="20"/>
        <v/>
      </c>
      <c r="AA20" s="144" t="str">
        <f t="shared" si="20"/>
        <v/>
      </c>
      <c r="AB20" s="144" t="str">
        <f t="shared" si="20"/>
        <v/>
      </c>
      <c r="AC20" s="144" t="str">
        <f t="shared" si="20"/>
        <v/>
      </c>
      <c r="AD20" s="144" t="str">
        <f t="shared" si="20"/>
        <v/>
      </c>
      <c r="AE20" s="144" t="str">
        <f t="shared" si="20"/>
        <v/>
      </c>
      <c r="AF20" s="144" t="str">
        <f t="shared" si="20"/>
        <v/>
      </c>
      <c r="AG20" s="144" t="str">
        <f t="shared" si="20"/>
        <v/>
      </c>
      <c r="AH20" s="144" t="str">
        <f t="shared" si="20"/>
        <v/>
      </c>
      <c r="AI20" s="144" t="str">
        <f t="shared" si="20"/>
        <v/>
      </c>
      <c r="AJ20" s="144" t="str">
        <f t="shared" si="20"/>
        <v/>
      </c>
      <c r="AK20" s="144" t="str">
        <f t="shared" si="20"/>
        <v/>
      </c>
      <c r="AL20" s="144" t="str">
        <f t="shared" si="20"/>
        <v/>
      </c>
      <c r="AM20" s="144" t="str">
        <f t="shared" si="20"/>
        <v/>
      </c>
      <c r="AN20" s="136" t="str">
        <f t="shared" si="15"/>
        <v/>
      </c>
      <c r="AO20" s="156"/>
      <c r="AP20" s="170"/>
      <c r="AQ20" s="171">
        <f t="shared" si="16"/>
        <v>0</v>
      </c>
      <c r="AR20" s="171">
        <f t="shared" si="17"/>
        <v>0</v>
      </c>
      <c r="AS20" s="171">
        <f t="shared" si="18"/>
        <v>0</v>
      </c>
      <c r="AT20" s="171">
        <f t="shared" si="6"/>
        <v>0</v>
      </c>
      <c r="AU20" s="171">
        <f t="shared" si="7"/>
        <v>0</v>
      </c>
      <c r="AV20" s="171">
        <f t="shared" si="8"/>
        <v>0</v>
      </c>
      <c r="AW20" s="171">
        <f t="shared" si="9"/>
        <v>0</v>
      </c>
      <c r="AX20" s="157"/>
      <c r="AY20" s="157"/>
      <c r="AZ20" s="157"/>
      <c r="BA20" s="157"/>
      <c r="BB20" s="157"/>
      <c r="BC20" s="157">
        <f t="shared" si="10"/>
        <v>0</v>
      </c>
      <c r="BD20" s="157">
        <f t="shared" si="11"/>
        <v>0</v>
      </c>
      <c r="BE20" s="157"/>
      <c r="BF20" s="157"/>
      <c r="BG20" s="157"/>
    </row>
    <row r="21" ht="14.25" customHeight="1">
      <c r="A21" s="132">
        <v>8.0</v>
      </c>
      <c r="B21" s="132" t="str">
        <f>IF(LEN(C21)&gt;0,VLOOKUP($F$6,DATA!$A:$S,2,FALSE),"")</f>
        <v/>
      </c>
      <c r="C21" s="134" t="str">
        <f t="shared" si="2"/>
        <v/>
      </c>
      <c r="D21" s="172"/>
      <c r="E21" s="136"/>
      <c r="F21" s="174"/>
      <c r="G21" s="174"/>
      <c r="H21" s="168"/>
      <c r="I21" s="144" t="str">
        <f t="shared" ref="I21:AM21" si="21">IF(AND(LEN($E21)&gt;0,I$12&lt;&gt;"sá.",I$12&lt;&gt;"do.",I$12&lt;&gt;""),"TR","")</f>
        <v/>
      </c>
      <c r="J21" s="144" t="str">
        <f t="shared" si="21"/>
        <v/>
      </c>
      <c r="K21" s="144" t="str">
        <f t="shared" si="21"/>
        <v/>
      </c>
      <c r="L21" s="144" t="str">
        <f t="shared" si="21"/>
        <v/>
      </c>
      <c r="M21" s="144" t="str">
        <f t="shared" si="21"/>
        <v/>
      </c>
      <c r="N21" s="144" t="str">
        <f t="shared" si="21"/>
        <v/>
      </c>
      <c r="O21" s="144" t="str">
        <f t="shared" si="21"/>
        <v/>
      </c>
      <c r="P21" s="144" t="str">
        <f t="shared" si="21"/>
        <v/>
      </c>
      <c r="Q21" s="144" t="str">
        <f t="shared" si="21"/>
        <v/>
      </c>
      <c r="R21" s="144" t="str">
        <f t="shared" si="21"/>
        <v/>
      </c>
      <c r="S21" s="144" t="str">
        <f t="shared" si="21"/>
        <v/>
      </c>
      <c r="T21" s="144" t="str">
        <f t="shared" si="21"/>
        <v/>
      </c>
      <c r="U21" s="144" t="str">
        <f t="shared" si="21"/>
        <v/>
      </c>
      <c r="V21" s="144" t="str">
        <f t="shared" si="21"/>
        <v/>
      </c>
      <c r="W21" s="144" t="str">
        <f t="shared" si="21"/>
        <v/>
      </c>
      <c r="X21" s="144" t="str">
        <f t="shared" si="21"/>
        <v/>
      </c>
      <c r="Y21" s="144" t="str">
        <f t="shared" si="21"/>
        <v/>
      </c>
      <c r="Z21" s="144" t="str">
        <f t="shared" si="21"/>
        <v/>
      </c>
      <c r="AA21" s="144" t="str">
        <f t="shared" si="21"/>
        <v/>
      </c>
      <c r="AB21" s="144" t="str">
        <f t="shared" si="21"/>
        <v/>
      </c>
      <c r="AC21" s="144" t="str">
        <f t="shared" si="21"/>
        <v/>
      </c>
      <c r="AD21" s="144" t="str">
        <f t="shared" si="21"/>
        <v/>
      </c>
      <c r="AE21" s="144" t="str">
        <f t="shared" si="21"/>
        <v/>
      </c>
      <c r="AF21" s="144" t="str">
        <f t="shared" si="21"/>
        <v/>
      </c>
      <c r="AG21" s="144" t="str">
        <f t="shared" si="21"/>
        <v/>
      </c>
      <c r="AH21" s="144" t="str">
        <f t="shared" si="21"/>
        <v/>
      </c>
      <c r="AI21" s="144" t="str">
        <f t="shared" si="21"/>
        <v/>
      </c>
      <c r="AJ21" s="144" t="str">
        <f t="shared" si="21"/>
        <v/>
      </c>
      <c r="AK21" s="144" t="str">
        <f t="shared" si="21"/>
        <v/>
      </c>
      <c r="AL21" s="144" t="str">
        <f t="shared" si="21"/>
        <v/>
      </c>
      <c r="AM21" s="144" t="str">
        <f t="shared" si="21"/>
        <v/>
      </c>
      <c r="AN21" s="136" t="str">
        <f t="shared" si="15"/>
        <v/>
      </c>
      <c r="AO21" s="156"/>
      <c r="AP21" s="170"/>
      <c r="AQ21" s="171">
        <f t="shared" si="16"/>
        <v>0</v>
      </c>
      <c r="AR21" s="171">
        <f t="shared" si="17"/>
        <v>0</v>
      </c>
      <c r="AS21" s="171">
        <f t="shared" si="18"/>
        <v>0</v>
      </c>
      <c r="AT21" s="171">
        <f t="shared" si="6"/>
        <v>0</v>
      </c>
      <c r="AU21" s="171">
        <f t="shared" si="7"/>
        <v>0</v>
      </c>
      <c r="AV21" s="171">
        <f t="shared" si="8"/>
        <v>0</v>
      </c>
      <c r="AW21" s="171">
        <f t="shared" si="9"/>
        <v>0</v>
      </c>
      <c r="AX21" s="157"/>
      <c r="AY21" s="157"/>
      <c r="AZ21" s="157"/>
      <c r="BA21" s="157"/>
      <c r="BB21" s="157"/>
      <c r="BC21" s="157">
        <f t="shared" si="10"/>
        <v>0</v>
      </c>
      <c r="BD21" s="157">
        <f t="shared" si="11"/>
        <v>0</v>
      </c>
      <c r="BE21" s="157"/>
      <c r="BF21" s="157"/>
      <c r="BG21" s="157"/>
    </row>
    <row r="22" ht="14.25" customHeight="1">
      <c r="A22" s="132">
        <v>9.0</v>
      </c>
      <c r="B22" s="132" t="str">
        <f>IF(LEN(C22)&gt;0,VLOOKUP($F$6,DATA!$A:$S,2,FALSE),"")</f>
        <v/>
      </c>
      <c r="C22" s="134" t="str">
        <f t="shared" si="2"/>
        <v/>
      </c>
      <c r="D22" s="172"/>
      <c r="E22" s="136"/>
      <c r="F22" s="174"/>
      <c r="G22" s="174"/>
      <c r="H22" s="168"/>
      <c r="I22" s="144" t="str">
        <f t="shared" ref="I22:AM22" si="22">IF(AND(LEN($E22)&gt;0,I$12&lt;&gt;"sá.",I$12&lt;&gt;"do.",I$12&lt;&gt;""),"TR","")</f>
        <v/>
      </c>
      <c r="J22" s="144" t="str">
        <f t="shared" si="22"/>
        <v/>
      </c>
      <c r="K22" s="144" t="str">
        <f t="shared" si="22"/>
        <v/>
      </c>
      <c r="L22" s="144" t="str">
        <f t="shared" si="22"/>
        <v/>
      </c>
      <c r="M22" s="144" t="str">
        <f t="shared" si="22"/>
        <v/>
      </c>
      <c r="N22" s="144" t="str">
        <f t="shared" si="22"/>
        <v/>
      </c>
      <c r="O22" s="144" t="str">
        <f t="shared" si="22"/>
        <v/>
      </c>
      <c r="P22" s="144" t="str">
        <f t="shared" si="22"/>
        <v/>
      </c>
      <c r="Q22" s="144" t="str">
        <f t="shared" si="22"/>
        <v/>
      </c>
      <c r="R22" s="144" t="str">
        <f t="shared" si="22"/>
        <v/>
      </c>
      <c r="S22" s="144" t="str">
        <f t="shared" si="22"/>
        <v/>
      </c>
      <c r="T22" s="144" t="str">
        <f t="shared" si="22"/>
        <v/>
      </c>
      <c r="U22" s="144" t="str">
        <f t="shared" si="22"/>
        <v/>
      </c>
      <c r="V22" s="144" t="str">
        <f t="shared" si="22"/>
        <v/>
      </c>
      <c r="W22" s="144" t="str">
        <f t="shared" si="22"/>
        <v/>
      </c>
      <c r="X22" s="144" t="str">
        <f t="shared" si="22"/>
        <v/>
      </c>
      <c r="Y22" s="144" t="str">
        <f t="shared" si="22"/>
        <v/>
      </c>
      <c r="Z22" s="144" t="str">
        <f t="shared" si="22"/>
        <v/>
      </c>
      <c r="AA22" s="144" t="str">
        <f t="shared" si="22"/>
        <v/>
      </c>
      <c r="AB22" s="144" t="str">
        <f t="shared" si="22"/>
        <v/>
      </c>
      <c r="AC22" s="144" t="str">
        <f t="shared" si="22"/>
        <v/>
      </c>
      <c r="AD22" s="144" t="str">
        <f t="shared" si="22"/>
        <v/>
      </c>
      <c r="AE22" s="144" t="str">
        <f t="shared" si="22"/>
        <v/>
      </c>
      <c r="AF22" s="144" t="str">
        <f t="shared" si="22"/>
        <v/>
      </c>
      <c r="AG22" s="144" t="str">
        <f t="shared" si="22"/>
        <v/>
      </c>
      <c r="AH22" s="144" t="str">
        <f t="shared" si="22"/>
        <v/>
      </c>
      <c r="AI22" s="144" t="str">
        <f t="shared" si="22"/>
        <v/>
      </c>
      <c r="AJ22" s="144" t="str">
        <f t="shared" si="22"/>
        <v/>
      </c>
      <c r="AK22" s="144" t="str">
        <f t="shared" si="22"/>
        <v/>
      </c>
      <c r="AL22" s="144" t="str">
        <f t="shared" si="22"/>
        <v/>
      </c>
      <c r="AM22" s="144" t="str">
        <f t="shared" si="22"/>
        <v/>
      </c>
      <c r="AN22" s="136" t="str">
        <f t="shared" si="15"/>
        <v/>
      </c>
      <c r="AO22" s="156"/>
      <c r="AP22" s="170"/>
      <c r="AQ22" s="171">
        <f t="shared" si="16"/>
        <v>0</v>
      </c>
      <c r="AR22" s="171">
        <f t="shared" si="17"/>
        <v>0</v>
      </c>
      <c r="AS22" s="171">
        <f t="shared" si="18"/>
        <v>0</v>
      </c>
      <c r="AT22" s="171">
        <f t="shared" si="6"/>
        <v>0</v>
      </c>
      <c r="AU22" s="171">
        <f t="shared" si="7"/>
        <v>0</v>
      </c>
      <c r="AV22" s="171">
        <f t="shared" si="8"/>
        <v>0</v>
      </c>
      <c r="AW22" s="171">
        <f t="shared" si="9"/>
        <v>0</v>
      </c>
      <c r="AX22" s="157"/>
      <c r="AY22" s="157"/>
      <c r="AZ22" s="157"/>
      <c r="BA22" s="157"/>
      <c r="BB22" s="157"/>
      <c r="BC22" s="157">
        <f t="shared" si="10"/>
        <v>0</v>
      </c>
      <c r="BD22" s="157">
        <f t="shared" si="11"/>
        <v>0</v>
      </c>
      <c r="BE22" s="157"/>
      <c r="BF22" s="157"/>
      <c r="BG22" s="157"/>
    </row>
    <row r="23" ht="14.25" customHeight="1">
      <c r="A23" s="132">
        <v>10.0</v>
      </c>
      <c r="B23" s="132" t="str">
        <f>IF(LEN(C23)&gt;0,VLOOKUP($F$6,DATA!$A:$S,2,FALSE),"")</f>
        <v/>
      </c>
      <c r="C23" s="134" t="str">
        <f t="shared" si="2"/>
        <v/>
      </c>
      <c r="D23" s="172"/>
      <c r="E23" s="136"/>
      <c r="F23" s="174"/>
      <c r="G23" s="174"/>
      <c r="H23" s="168"/>
      <c r="I23" s="144" t="str">
        <f t="shared" ref="I23:AM23" si="23">IF(AND(LEN($E23)&gt;0,I$12&lt;&gt;"sá.",I$12&lt;&gt;"do.",I$12&lt;&gt;""),"TR","")</f>
        <v/>
      </c>
      <c r="J23" s="144" t="str">
        <f t="shared" si="23"/>
        <v/>
      </c>
      <c r="K23" s="144" t="str">
        <f t="shared" si="23"/>
        <v/>
      </c>
      <c r="L23" s="144" t="str">
        <f t="shared" si="23"/>
        <v/>
      </c>
      <c r="M23" s="144" t="str">
        <f t="shared" si="23"/>
        <v/>
      </c>
      <c r="N23" s="144" t="str">
        <f t="shared" si="23"/>
        <v/>
      </c>
      <c r="O23" s="144" t="str">
        <f t="shared" si="23"/>
        <v/>
      </c>
      <c r="P23" s="144" t="str">
        <f t="shared" si="23"/>
        <v/>
      </c>
      <c r="Q23" s="144" t="str">
        <f t="shared" si="23"/>
        <v/>
      </c>
      <c r="R23" s="144" t="str">
        <f t="shared" si="23"/>
        <v/>
      </c>
      <c r="S23" s="144" t="str">
        <f t="shared" si="23"/>
        <v/>
      </c>
      <c r="T23" s="144" t="str">
        <f t="shared" si="23"/>
        <v/>
      </c>
      <c r="U23" s="144" t="str">
        <f t="shared" si="23"/>
        <v/>
      </c>
      <c r="V23" s="144" t="str">
        <f t="shared" si="23"/>
        <v/>
      </c>
      <c r="W23" s="144" t="str">
        <f t="shared" si="23"/>
        <v/>
      </c>
      <c r="X23" s="144" t="str">
        <f t="shared" si="23"/>
        <v/>
      </c>
      <c r="Y23" s="144" t="str">
        <f t="shared" si="23"/>
        <v/>
      </c>
      <c r="Z23" s="144" t="str">
        <f t="shared" si="23"/>
        <v/>
      </c>
      <c r="AA23" s="144" t="str">
        <f t="shared" si="23"/>
        <v/>
      </c>
      <c r="AB23" s="144" t="str">
        <f t="shared" si="23"/>
        <v/>
      </c>
      <c r="AC23" s="144" t="str">
        <f t="shared" si="23"/>
        <v/>
      </c>
      <c r="AD23" s="144" t="str">
        <f t="shared" si="23"/>
        <v/>
      </c>
      <c r="AE23" s="144" t="str">
        <f t="shared" si="23"/>
        <v/>
      </c>
      <c r="AF23" s="144" t="str">
        <f t="shared" si="23"/>
        <v/>
      </c>
      <c r="AG23" s="144" t="str">
        <f t="shared" si="23"/>
        <v/>
      </c>
      <c r="AH23" s="144" t="str">
        <f t="shared" si="23"/>
        <v/>
      </c>
      <c r="AI23" s="144" t="str">
        <f t="shared" si="23"/>
        <v/>
      </c>
      <c r="AJ23" s="144" t="str">
        <f t="shared" si="23"/>
        <v/>
      </c>
      <c r="AK23" s="144" t="str">
        <f t="shared" si="23"/>
        <v/>
      </c>
      <c r="AL23" s="144" t="str">
        <f t="shared" si="23"/>
        <v/>
      </c>
      <c r="AM23" s="144" t="str">
        <f t="shared" si="23"/>
        <v/>
      </c>
      <c r="AN23" s="136" t="str">
        <f t="shared" si="15"/>
        <v/>
      </c>
      <c r="AO23" s="156"/>
      <c r="AP23" s="170"/>
      <c r="AQ23" s="171">
        <f t="shared" si="16"/>
        <v>0</v>
      </c>
      <c r="AR23" s="171">
        <f t="shared" si="17"/>
        <v>0</v>
      </c>
      <c r="AS23" s="171">
        <f t="shared" si="18"/>
        <v>0</v>
      </c>
      <c r="AT23" s="171">
        <f t="shared" si="6"/>
        <v>0</v>
      </c>
      <c r="AU23" s="171">
        <f t="shared" si="7"/>
        <v>0</v>
      </c>
      <c r="AV23" s="171">
        <f t="shared" si="8"/>
        <v>0</v>
      </c>
      <c r="AW23" s="171">
        <f t="shared" si="9"/>
        <v>0</v>
      </c>
      <c r="AX23" s="157"/>
      <c r="AY23" s="157"/>
      <c r="AZ23" s="157"/>
      <c r="BA23" s="157"/>
      <c r="BB23" s="157"/>
      <c r="BC23" s="157">
        <f t="shared" si="10"/>
        <v>0</v>
      </c>
      <c r="BD23" s="157">
        <f t="shared" si="11"/>
        <v>0</v>
      </c>
      <c r="BE23" s="157"/>
      <c r="BF23" s="157"/>
      <c r="BG23" s="157"/>
    </row>
    <row r="24" ht="14.25" customHeight="1">
      <c r="A24" s="132">
        <v>11.0</v>
      </c>
      <c r="B24" s="132" t="str">
        <f>IF(LEN(C24)&gt;0,VLOOKUP($F$6,DATA!$A:$S,2,FALSE),"")</f>
        <v/>
      </c>
      <c r="C24" s="134" t="str">
        <f t="shared" si="2"/>
        <v/>
      </c>
      <c r="D24" s="172"/>
      <c r="E24" s="136"/>
      <c r="F24" s="174"/>
      <c r="G24" s="174"/>
      <c r="H24" s="168"/>
      <c r="I24" s="144" t="str">
        <f t="shared" ref="I24:AM24" si="24">IF(AND(LEN($E24)&gt;0,I$12&lt;&gt;"sá.",I$12&lt;&gt;"do.",I$12&lt;&gt;""),"TR","")</f>
        <v/>
      </c>
      <c r="J24" s="144" t="str">
        <f t="shared" si="24"/>
        <v/>
      </c>
      <c r="K24" s="144" t="str">
        <f t="shared" si="24"/>
        <v/>
      </c>
      <c r="L24" s="144" t="str">
        <f t="shared" si="24"/>
        <v/>
      </c>
      <c r="M24" s="144" t="str">
        <f t="shared" si="24"/>
        <v/>
      </c>
      <c r="N24" s="144" t="str">
        <f t="shared" si="24"/>
        <v/>
      </c>
      <c r="O24" s="144" t="str">
        <f t="shared" si="24"/>
        <v/>
      </c>
      <c r="P24" s="144" t="str">
        <f t="shared" si="24"/>
        <v/>
      </c>
      <c r="Q24" s="144" t="str">
        <f t="shared" si="24"/>
        <v/>
      </c>
      <c r="R24" s="144" t="str">
        <f t="shared" si="24"/>
        <v/>
      </c>
      <c r="S24" s="144" t="str">
        <f t="shared" si="24"/>
        <v/>
      </c>
      <c r="T24" s="144" t="str">
        <f t="shared" si="24"/>
        <v/>
      </c>
      <c r="U24" s="144" t="str">
        <f t="shared" si="24"/>
        <v/>
      </c>
      <c r="V24" s="144" t="str">
        <f t="shared" si="24"/>
        <v/>
      </c>
      <c r="W24" s="144" t="str">
        <f t="shared" si="24"/>
        <v/>
      </c>
      <c r="X24" s="144" t="str">
        <f t="shared" si="24"/>
        <v/>
      </c>
      <c r="Y24" s="144" t="str">
        <f t="shared" si="24"/>
        <v/>
      </c>
      <c r="Z24" s="144" t="str">
        <f t="shared" si="24"/>
        <v/>
      </c>
      <c r="AA24" s="144" t="str">
        <f t="shared" si="24"/>
        <v/>
      </c>
      <c r="AB24" s="144" t="str">
        <f t="shared" si="24"/>
        <v/>
      </c>
      <c r="AC24" s="144" t="str">
        <f t="shared" si="24"/>
        <v/>
      </c>
      <c r="AD24" s="144" t="str">
        <f t="shared" si="24"/>
        <v/>
      </c>
      <c r="AE24" s="144" t="str">
        <f t="shared" si="24"/>
        <v/>
      </c>
      <c r="AF24" s="144" t="str">
        <f t="shared" si="24"/>
        <v/>
      </c>
      <c r="AG24" s="144" t="str">
        <f t="shared" si="24"/>
        <v/>
      </c>
      <c r="AH24" s="144" t="str">
        <f t="shared" si="24"/>
        <v/>
      </c>
      <c r="AI24" s="144" t="str">
        <f t="shared" si="24"/>
        <v/>
      </c>
      <c r="AJ24" s="144" t="str">
        <f t="shared" si="24"/>
        <v/>
      </c>
      <c r="AK24" s="144" t="str">
        <f t="shared" si="24"/>
        <v/>
      </c>
      <c r="AL24" s="144" t="str">
        <f t="shared" si="24"/>
        <v/>
      </c>
      <c r="AM24" s="144" t="str">
        <f t="shared" si="24"/>
        <v/>
      </c>
      <c r="AN24" s="136" t="str">
        <f t="shared" si="15"/>
        <v/>
      </c>
      <c r="AO24" s="156"/>
      <c r="AP24" s="170"/>
      <c r="AQ24" s="171">
        <f t="shared" si="16"/>
        <v>0</v>
      </c>
      <c r="AR24" s="171">
        <f t="shared" si="17"/>
        <v>0</v>
      </c>
      <c r="AS24" s="171">
        <f t="shared" si="18"/>
        <v>0</v>
      </c>
      <c r="AT24" s="171">
        <f t="shared" si="6"/>
        <v>0</v>
      </c>
      <c r="AU24" s="171">
        <f t="shared" si="7"/>
        <v>0</v>
      </c>
      <c r="AV24" s="171">
        <f t="shared" si="8"/>
        <v>0</v>
      </c>
      <c r="AW24" s="171">
        <f t="shared" si="9"/>
        <v>0</v>
      </c>
      <c r="AX24" s="157"/>
      <c r="AY24" s="157"/>
      <c r="AZ24" s="157"/>
      <c r="BA24" s="157"/>
      <c r="BB24" s="157"/>
      <c r="BC24" s="157">
        <f t="shared" si="10"/>
        <v>0</v>
      </c>
      <c r="BD24" s="157">
        <f t="shared" si="11"/>
        <v>0</v>
      </c>
      <c r="BE24" s="157"/>
      <c r="BF24" s="157"/>
      <c r="BG24" s="157"/>
    </row>
    <row r="25" ht="14.25" customHeight="1">
      <c r="A25" s="132">
        <v>12.0</v>
      </c>
      <c r="B25" s="132" t="str">
        <f>IF(LEN(C25)&gt;0,VLOOKUP($F$6,DATA!$A:$S,2,FALSE),"")</f>
        <v/>
      </c>
      <c r="C25" s="134" t="str">
        <f t="shared" si="2"/>
        <v/>
      </c>
      <c r="D25" s="172"/>
      <c r="E25" s="136"/>
      <c r="F25" s="174"/>
      <c r="G25" s="174"/>
      <c r="H25" s="168"/>
      <c r="I25" s="144" t="str">
        <f t="shared" ref="I25:AM25" si="25">IF(AND(LEN($E25)&gt;0,I$12&lt;&gt;"sá.",I$12&lt;&gt;"do.",I$12&lt;&gt;""),"TR","")</f>
        <v/>
      </c>
      <c r="J25" s="144" t="str">
        <f t="shared" si="25"/>
        <v/>
      </c>
      <c r="K25" s="144" t="str">
        <f t="shared" si="25"/>
        <v/>
      </c>
      <c r="L25" s="144" t="str">
        <f t="shared" si="25"/>
        <v/>
      </c>
      <c r="M25" s="144" t="str">
        <f t="shared" si="25"/>
        <v/>
      </c>
      <c r="N25" s="144" t="str">
        <f t="shared" si="25"/>
        <v/>
      </c>
      <c r="O25" s="144" t="str">
        <f t="shared" si="25"/>
        <v/>
      </c>
      <c r="P25" s="144" t="str">
        <f t="shared" si="25"/>
        <v/>
      </c>
      <c r="Q25" s="144" t="str">
        <f t="shared" si="25"/>
        <v/>
      </c>
      <c r="R25" s="144" t="str">
        <f t="shared" si="25"/>
        <v/>
      </c>
      <c r="S25" s="144" t="str">
        <f t="shared" si="25"/>
        <v/>
      </c>
      <c r="T25" s="144" t="str">
        <f t="shared" si="25"/>
        <v/>
      </c>
      <c r="U25" s="144" t="str">
        <f t="shared" si="25"/>
        <v/>
      </c>
      <c r="V25" s="144" t="str">
        <f t="shared" si="25"/>
        <v/>
      </c>
      <c r="W25" s="144" t="str">
        <f t="shared" si="25"/>
        <v/>
      </c>
      <c r="X25" s="144" t="str">
        <f t="shared" si="25"/>
        <v/>
      </c>
      <c r="Y25" s="144" t="str">
        <f t="shared" si="25"/>
        <v/>
      </c>
      <c r="Z25" s="144" t="str">
        <f t="shared" si="25"/>
        <v/>
      </c>
      <c r="AA25" s="144" t="str">
        <f t="shared" si="25"/>
        <v/>
      </c>
      <c r="AB25" s="144" t="str">
        <f t="shared" si="25"/>
        <v/>
      </c>
      <c r="AC25" s="144" t="str">
        <f t="shared" si="25"/>
        <v/>
      </c>
      <c r="AD25" s="144" t="str">
        <f t="shared" si="25"/>
        <v/>
      </c>
      <c r="AE25" s="144" t="str">
        <f t="shared" si="25"/>
        <v/>
      </c>
      <c r="AF25" s="144" t="str">
        <f t="shared" si="25"/>
        <v/>
      </c>
      <c r="AG25" s="144" t="str">
        <f t="shared" si="25"/>
        <v/>
      </c>
      <c r="AH25" s="144" t="str">
        <f t="shared" si="25"/>
        <v/>
      </c>
      <c r="AI25" s="144" t="str">
        <f t="shared" si="25"/>
        <v/>
      </c>
      <c r="AJ25" s="144" t="str">
        <f t="shared" si="25"/>
        <v/>
      </c>
      <c r="AK25" s="144" t="str">
        <f t="shared" si="25"/>
        <v/>
      </c>
      <c r="AL25" s="144" t="str">
        <f t="shared" si="25"/>
        <v/>
      </c>
      <c r="AM25" s="144" t="str">
        <f t="shared" si="25"/>
        <v/>
      </c>
      <c r="AN25" s="136" t="str">
        <f t="shared" si="15"/>
        <v/>
      </c>
      <c r="AO25" s="156"/>
      <c r="AP25" s="170"/>
      <c r="AQ25" s="171">
        <f t="shared" si="16"/>
        <v>0</v>
      </c>
      <c r="AR25" s="171">
        <f t="shared" si="17"/>
        <v>0</v>
      </c>
      <c r="AS25" s="171">
        <f t="shared" si="18"/>
        <v>0</v>
      </c>
      <c r="AT25" s="171">
        <f t="shared" si="6"/>
        <v>0</v>
      </c>
      <c r="AU25" s="171">
        <f t="shared" si="7"/>
        <v>0</v>
      </c>
      <c r="AV25" s="171">
        <f t="shared" si="8"/>
        <v>0</v>
      </c>
      <c r="AW25" s="171">
        <f t="shared" si="9"/>
        <v>0</v>
      </c>
      <c r="AX25" s="157"/>
      <c r="AY25" s="157"/>
      <c r="AZ25" s="157"/>
      <c r="BA25" s="157"/>
      <c r="BB25" s="157"/>
      <c r="BC25" s="157">
        <f t="shared" si="10"/>
        <v>0</v>
      </c>
      <c r="BD25" s="157">
        <f t="shared" si="11"/>
        <v>0</v>
      </c>
      <c r="BE25" s="157"/>
      <c r="BF25" s="157"/>
      <c r="BG25" s="157"/>
    </row>
    <row r="26" ht="14.25" customHeight="1">
      <c r="A26" s="132">
        <v>13.0</v>
      </c>
      <c r="B26" s="132" t="str">
        <f>IF(LEN(C26)&gt;0,VLOOKUP($F$6,DATA!$A:$S,2,FALSE),"")</f>
        <v/>
      </c>
      <c r="C26" s="134" t="str">
        <f t="shared" si="2"/>
        <v/>
      </c>
      <c r="D26" s="172"/>
      <c r="E26" s="136"/>
      <c r="F26" s="174"/>
      <c r="G26" s="174"/>
      <c r="H26" s="168"/>
      <c r="I26" s="144" t="str">
        <f t="shared" ref="I26:AM26" si="26">IF(AND(LEN($E26)&gt;0,I$12&lt;&gt;"sá.",I$12&lt;&gt;"do.",I$12&lt;&gt;""),"TR","")</f>
        <v/>
      </c>
      <c r="J26" s="144" t="str">
        <f t="shared" si="26"/>
        <v/>
      </c>
      <c r="K26" s="144" t="str">
        <f t="shared" si="26"/>
        <v/>
      </c>
      <c r="L26" s="144" t="str">
        <f t="shared" si="26"/>
        <v/>
      </c>
      <c r="M26" s="144" t="str">
        <f t="shared" si="26"/>
        <v/>
      </c>
      <c r="N26" s="144" t="str">
        <f t="shared" si="26"/>
        <v/>
      </c>
      <c r="O26" s="144" t="str">
        <f t="shared" si="26"/>
        <v/>
      </c>
      <c r="P26" s="144" t="str">
        <f t="shared" si="26"/>
        <v/>
      </c>
      <c r="Q26" s="144" t="str">
        <f t="shared" si="26"/>
        <v/>
      </c>
      <c r="R26" s="144" t="str">
        <f t="shared" si="26"/>
        <v/>
      </c>
      <c r="S26" s="144" t="str">
        <f t="shared" si="26"/>
        <v/>
      </c>
      <c r="T26" s="144" t="str">
        <f t="shared" si="26"/>
        <v/>
      </c>
      <c r="U26" s="144" t="str">
        <f t="shared" si="26"/>
        <v/>
      </c>
      <c r="V26" s="144" t="str">
        <f t="shared" si="26"/>
        <v/>
      </c>
      <c r="W26" s="144" t="str">
        <f t="shared" si="26"/>
        <v/>
      </c>
      <c r="X26" s="144" t="str">
        <f t="shared" si="26"/>
        <v/>
      </c>
      <c r="Y26" s="144" t="str">
        <f t="shared" si="26"/>
        <v/>
      </c>
      <c r="Z26" s="144" t="str">
        <f t="shared" si="26"/>
        <v/>
      </c>
      <c r="AA26" s="144" t="str">
        <f t="shared" si="26"/>
        <v/>
      </c>
      <c r="AB26" s="144" t="str">
        <f t="shared" si="26"/>
        <v/>
      </c>
      <c r="AC26" s="144" t="str">
        <f t="shared" si="26"/>
        <v/>
      </c>
      <c r="AD26" s="144" t="str">
        <f t="shared" si="26"/>
        <v/>
      </c>
      <c r="AE26" s="144" t="str">
        <f t="shared" si="26"/>
        <v/>
      </c>
      <c r="AF26" s="144" t="str">
        <f t="shared" si="26"/>
        <v/>
      </c>
      <c r="AG26" s="144" t="str">
        <f t="shared" si="26"/>
        <v/>
      </c>
      <c r="AH26" s="144" t="str">
        <f t="shared" si="26"/>
        <v/>
      </c>
      <c r="AI26" s="144" t="str">
        <f t="shared" si="26"/>
        <v/>
      </c>
      <c r="AJ26" s="144" t="str">
        <f t="shared" si="26"/>
        <v/>
      </c>
      <c r="AK26" s="144" t="str">
        <f t="shared" si="26"/>
        <v/>
      </c>
      <c r="AL26" s="144" t="str">
        <f t="shared" si="26"/>
        <v/>
      </c>
      <c r="AM26" s="144" t="str">
        <f t="shared" si="26"/>
        <v/>
      </c>
      <c r="AN26" s="136" t="str">
        <f t="shared" si="15"/>
        <v/>
      </c>
      <c r="AO26" s="156"/>
      <c r="AP26" s="170"/>
      <c r="AQ26" s="171">
        <f t="shared" si="16"/>
        <v>0</v>
      </c>
      <c r="AR26" s="171">
        <f t="shared" si="17"/>
        <v>0</v>
      </c>
      <c r="AS26" s="171">
        <f t="shared" si="18"/>
        <v>0</v>
      </c>
      <c r="AT26" s="171">
        <f t="shared" si="6"/>
        <v>0</v>
      </c>
      <c r="AU26" s="171">
        <f t="shared" si="7"/>
        <v>0</v>
      </c>
      <c r="AV26" s="171">
        <f t="shared" si="8"/>
        <v>0</v>
      </c>
      <c r="AW26" s="171">
        <f t="shared" si="9"/>
        <v>0</v>
      </c>
      <c r="AX26" s="157"/>
      <c r="AY26" s="157"/>
      <c r="AZ26" s="157"/>
      <c r="BA26" s="157"/>
      <c r="BB26" s="157"/>
      <c r="BC26" s="157">
        <f t="shared" si="10"/>
        <v>0</v>
      </c>
      <c r="BD26" s="157">
        <f t="shared" si="11"/>
        <v>0</v>
      </c>
      <c r="BE26" s="157"/>
      <c r="BF26" s="157"/>
      <c r="BG26" s="157"/>
    </row>
    <row r="27" ht="14.25" customHeight="1">
      <c r="A27" s="132">
        <v>14.0</v>
      </c>
      <c r="B27" s="132" t="str">
        <f>IF(LEN(C27)&gt;0,VLOOKUP($F$6,DATA!$A:$S,2,FALSE),"")</f>
        <v/>
      </c>
      <c r="C27" s="134" t="str">
        <f t="shared" si="2"/>
        <v/>
      </c>
      <c r="D27" s="172"/>
      <c r="E27" s="136"/>
      <c r="F27" s="174"/>
      <c r="G27" s="174"/>
      <c r="H27" s="168"/>
      <c r="I27" s="144" t="str">
        <f t="shared" ref="I27:AM27" si="27">IF(AND(LEN($E27)&gt;0,I$12&lt;&gt;"sá.",I$12&lt;&gt;"do.",I$12&lt;&gt;""),"TR","")</f>
        <v/>
      </c>
      <c r="J27" s="144" t="str">
        <f t="shared" si="27"/>
        <v/>
      </c>
      <c r="K27" s="144" t="str">
        <f t="shared" si="27"/>
        <v/>
      </c>
      <c r="L27" s="144" t="str">
        <f t="shared" si="27"/>
        <v/>
      </c>
      <c r="M27" s="144" t="str">
        <f t="shared" si="27"/>
        <v/>
      </c>
      <c r="N27" s="144" t="str">
        <f t="shared" si="27"/>
        <v/>
      </c>
      <c r="O27" s="144" t="str">
        <f t="shared" si="27"/>
        <v/>
      </c>
      <c r="P27" s="144" t="str">
        <f t="shared" si="27"/>
        <v/>
      </c>
      <c r="Q27" s="144" t="str">
        <f t="shared" si="27"/>
        <v/>
      </c>
      <c r="R27" s="144" t="str">
        <f t="shared" si="27"/>
        <v/>
      </c>
      <c r="S27" s="144" t="str">
        <f t="shared" si="27"/>
        <v/>
      </c>
      <c r="T27" s="144" t="str">
        <f t="shared" si="27"/>
        <v/>
      </c>
      <c r="U27" s="144" t="str">
        <f t="shared" si="27"/>
        <v/>
      </c>
      <c r="V27" s="144" t="str">
        <f t="shared" si="27"/>
        <v/>
      </c>
      <c r="W27" s="144" t="str">
        <f t="shared" si="27"/>
        <v/>
      </c>
      <c r="X27" s="144" t="str">
        <f t="shared" si="27"/>
        <v/>
      </c>
      <c r="Y27" s="144" t="str">
        <f t="shared" si="27"/>
        <v/>
      </c>
      <c r="Z27" s="144" t="str">
        <f t="shared" si="27"/>
        <v/>
      </c>
      <c r="AA27" s="144" t="str">
        <f t="shared" si="27"/>
        <v/>
      </c>
      <c r="AB27" s="144" t="str">
        <f t="shared" si="27"/>
        <v/>
      </c>
      <c r="AC27" s="144" t="str">
        <f t="shared" si="27"/>
        <v/>
      </c>
      <c r="AD27" s="144" t="str">
        <f t="shared" si="27"/>
        <v/>
      </c>
      <c r="AE27" s="144" t="str">
        <f t="shared" si="27"/>
        <v/>
      </c>
      <c r="AF27" s="144" t="str">
        <f t="shared" si="27"/>
        <v/>
      </c>
      <c r="AG27" s="144" t="str">
        <f t="shared" si="27"/>
        <v/>
      </c>
      <c r="AH27" s="144" t="str">
        <f t="shared" si="27"/>
        <v/>
      </c>
      <c r="AI27" s="144" t="str">
        <f t="shared" si="27"/>
        <v/>
      </c>
      <c r="AJ27" s="144" t="str">
        <f t="shared" si="27"/>
        <v/>
      </c>
      <c r="AK27" s="144" t="str">
        <f t="shared" si="27"/>
        <v/>
      </c>
      <c r="AL27" s="144" t="str">
        <f t="shared" si="27"/>
        <v/>
      </c>
      <c r="AM27" s="144" t="str">
        <f t="shared" si="27"/>
        <v/>
      </c>
      <c r="AN27" s="136" t="str">
        <f t="shared" si="15"/>
        <v/>
      </c>
      <c r="AO27" s="156"/>
      <c r="AP27" s="170"/>
      <c r="AQ27" s="171">
        <f t="shared" si="16"/>
        <v>0</v>
      </c>
      <c r="AR27" s="171">
        <f t="shared" si="17"/>
        <v>0</v>
      </c>
      <c r="AS27" s="171">
        <f t="shared" si="18"/>
        <v>0</v>
      </c>
      <c r="AT27" s="171">
        <f t="shared" si="6"/>
        <v>0</v>
      </c>
      <c r="AU27" s="171">
        <f t="shared" si="7"/>
        <v>0</v>
      </c>
      <c r="AV27" s="171">
        <f t="shared" si="8"/>
        <v>0</v>
      </c>
      <c r="AW27" s="171">
        <f t="shared" si="9"/>
        <v>0</v>
      </c>
      <c r="AX27" s="157"/>
      <c r="AY27" s="157"/>
      <c r="AZ27" s="157"/>
      <c r="BA27" s="157"/>
      <c r="BB27" s="157"/>
      <c r="BC27" s="157">
        <f t="shared" si="10"/>
        <v>0</v>
      </c>
      <c r="BD27" s="157">
        <f t="shared" si="11"/>
        <v>0</v>
      </c>
      <c r="BE27" s="157"/>
      <c r="BF27" s="157"/>
      <c r="BG27" s="157"/>
    </row>
    <row r="28" ht="14.25" customHeight="1">
      <c r="A28" s="132">
        <v>15.0</v>
      </c>
      <c r="B28" s="132" t="str">
        <f>IF(LEN(C28)&gt;0,VLOOKUP($F$6,DATA!$A:$S,2,FALSE),"")</f>
        <v/>
      </c>
      <c r="C28" s="134" t="str">
        <f t="shared" si="2"/>
        <v/>
      </c>
      <c r="D28" s="172"/>
      <c r="E28" s="136"/>
      <c r="F28" s="174"/>
      <c r="G28" s="174"/>
      <c r="H28" s="168"/>
      <c r="I28" s="144" t="str">
        <f t="shared" ref="I28:AM28" si="28">IF(AND(LEN($E28)&gt;0,I$12&lt;&gt;"sá.",I$12&lt;&gt;"do.",I$12&lt;&gt;""),"TR","")</f>
        <v/>
      </c>
      <c r="J28" s="144" t="str">
        <f t="shared" si="28"/>
        <v/>
      </c>
      <c r="K28" s="144" t="str">
        <f t="shared" si="28"/>
        <v/>
      </c>
      <c r="L28" s="144" t="str">
        <f t="shared" si="28"/>
        <v/>
      </c>
      <c r="M28" s="144" t="str">
        <f t="shared" si="28"/>
        <v/>
      </c>
      <c r="N28" s="144" t="str">
        <f t="shared" si="28"/>
        <v/>
      </c>
      <c r="O28" s="144" t="str">
        <f t="shared" si="28"/>
        <v/>
      </c>
      <c r="P28" s="144" t="str">
        <f t="shared" si="28"/>
        <v/>
      </c>
      <c r="Q28" s="144" t="str">
        <f t="shared" si="28"/>
        <v/>
      </c>
      <c r="R28" s="144" t="str">
        <f t="shared" si="28"/>
        <v/>
      </c>
      <c r="S28" s="144" t="str">
        <f t="shared" si="28"/>
        <v/>
      </c>
      <c r="T28" s="144" t="str">
        <f t="shared" si="28"/>
        <v/>
      </c>
      <c r="U28" s="144" t="str">
        <f t="shared" si="28"/>
        <v/>
      </c>
      <c r="V28" s="144" t="str">
        <f t="shared" si="28"/>
        <v/>
      </c>
      <c r="W28" s="144" t="str">
        <f t="shared" si="28"/>
        <v/>
      </c>
      <c r="X28" s="144" t="str">
        <f t="shared" si="28"/>
        <v/>
      </c>
      <c r="Y28" s="144" t="str">
        <f t="shared" si="28"/>
        <v/>
      </c>
      <c r="Z28" s="144" t="str">
        <f t="shared" si="28"/>
        <v/>
      </c>
      <c r="AA28" s="144" t="str">
        <f t="shared" si="28"/>
        <v/>
      </c>
      <c r="AB28" s="144" t="str">
        <f t="shared" si="28"/>
        <v/>
      </c>
      <c r="AC28" s="144" t="str">
        <f t="shared" si="28"/>
        <v/>
      </c>
      <c r="AD28" s="144" t="str">
        <f t="shared" si="28"/>
        <v/>
      </c>
      <c r="AE28" s="144" t="str">
        <f t="shared" si="28"/>
        <v/>
      </c>
      <c r="AF28" s="144" t="str">
        <f t="shared" si="28"/>
        <v/>
      </c>
      <c r="AG28" s="144" t="str">
        <f t="shared" si="28"/>
        <v/>
      </c>
      <c r="AH28" s="144" t="str">
        <f t="shared" si="28"/>
        <v/>
      </c>
      <c r="AI28" s="144" t="str">
        <f t="shared" si="28"/>
        <v/>
      </c>
      <c r="AJ28" s="144" t="str">
        <f t="shared" si="28"/>
        <v/>
      </c>
      <c r="AK28" s="144" t="str">
        <f t="shared" si="28"/>
        <v/>
      </c>
      <c r="AL28" s="144" t="str">
        <f t="shared" si="28"/>
        <v/>
      </c>
      <c r="AM28" s="144" t="str">
        <f t="shared" si="28"/>
        <v/>
      </c>
      <c r="AN28" s="136" t="str">
        <f t="shared" si="15"/>
        <v/>
      </c>
      <c r="AO28" s="156"/>
      <c r="AP28" s="170"/>
      <c r="AQ28" s="171">
        <f t="shared" si="16"/>
        <v>0</v>
      </c>
      <c r="AR28" s="171">
        <f t="shared" si="17"/>
        <v>0</v>
      </c>
      <c r="AS28" s="171">
        <f t="shared" si="18"/>
        <v>0</v>
      </c>
      <c r="AT28" s="171">
        <f t="shared" si="6"/>
        <v>0</v>
      </c>
      <c r="AU28" s="171">
        <f t="shared" si="7"/>
        <v>0</v>
      </c>
      <c r="AV28" s="171">
        <f t="shared" si="8"/>
        <v>0</v>
      </c>
      <c r="AW28" s="171">
        <f t="shared" si="9"/>
        <v>0</v>
      </c>
      <c r="AX28" s="157"/>
      <c r="AY28" s="157"/>
      <c r="AZ28" s="157"/>
      <c r="BA28" s="157"/>
      <c r="BB28" s="157"/>
      <c r="BC28" s="157">
        <f t="shared" si="10"/>
        <v>0</v>
      </c>
      <c r="BD28" s="157">
        <f t="shared" si="11"/>
        <v>0</v>
      </c>
      <c r="BE28" s="157"/>
      <c r="BF28" s="157"/>
      <c r="BG28" s="157"/>
    </row>
    <row r="29" ht="14.25" customHeight="1">
      <c r="A29" s="132">
        <v>16.0</v>
      </c>
      <c r="B29" s="132" t="str">
        <f>IF(LEN(C29)&gt;0,VLOOKUP($F$6,DATA!$A:$S,2,FALSE),"")</f>
        <v/>
      </c>
      <c r="C29" s="134" t="str">
        <f t="shared" si="2"/>
        <v/>
      </c>
      <c r="D29" s="172"/>
      <c r="E29" s="136"/>
      <c r="F29" s="174"/>
      <c r="G29" s="174"/>
      <c r="H29" s="168"/>
      <c r="I29" s="144" t="str">
        <f t="shared" ref="I29:AM29" si="29">IF(AND(LEN($E29)&gt;0,I$12&lt;&gt;"sá.",I$12&lt;&gt;"do.",I$12&lt;&gt;""),"TR","")</f>
        <v/>
      </c>
      <c r="J29" s="144" t="str">
        <f t="shared" si="29"/>
        <v/>
      </c>
      <c r="K29" s="144" t="str">
        <f t="shared" si="29"/>
        <v/>
      </c>
      <c r="L29" s="144" t="str">
        <f t="shared" si="29"/>
        <v/>
      </c>
      <c r="M29" s="144" t="str">
        <f t="shared" si="29"/>
        <v/>
      </c>
      <c r="N29" s="144" t="str">
        <f t="shared" si="29"/>
        <v/>
      </c>
      <c r="O29" s="144" t="str">
        <f t="shared" si="29"/>
        <v/>
      </c>
      <c r="P29" s="144" t="str">
        <f t="shared" si="29"/>
        <v/>
      </c>
      <c r="Q29" s="144" t="str">
        <f t="shared" si="29"/>
        <v/>
      </c>
      <c r="R29" s="144" t="str">
        <f t="shared" si="29"/>
        <v/>
      </c>
      <c r="S29" s="144" t="str">
        <f t="shared" si="29"/>
        <v/>
      </c>
      <c r="T29" s="144" t="str">
        <f t="shared" si="29"/>
        <v/>
      </c>
      <c r="U29" s="144" t="str">
        <f t="shared" si="29"/>
        <v/>
      </c>
      <c r="V29" s="144" t="str">
        <f t="shared" si="29"/>
        <v/>
      </c>
      <c r="W29" s="144" t="str">
        <f t="shared" si="29"/>
        <v/>
      </c>
      <c r="X29" s="144" t="str">
        <f t="shared" si="29"/>
        <v/>
      </c>
      <c r="Y29" s="144" t="str">
        <f t="shared" si="29"/>
        <v/>
      </c>
      <c r="Z29" s="144" t="str">
        <f t="shared" si="29"/>
        <v/>
      </c>
      <c r="AA29" s="144" t="str">
        <f t="shared" si="29"/>
        <v/>
      </c>
      <c r="AB29" s="144" t="str">
        <f t="shared" si="29"/>
        <v/>
      </c>
      <c r="AC29" s="144" t="str">
        <f t="shared" si="29"/>
        <v/>
      </c>
      <c r="AD29" s="144" t="str">
        <f t="shared" si="29"/>
        <v/>
      </c>
      <c r="AE29" s="144" t="str">
        <f t="shared" si="29"/>
        <v/>
      </c>
      <c r="AF29" s="144" t="str">
        <f t="shared" si="29"/>
        <v/>
      </c>
      <c r="AG29" s="144" t="str">
        <f t="shared" si="29"/>
        <v/>
      </c>
      <c r="AH29" s="144" t="str">
        <f t="shared" si="29"/>
        <v/>
      </c>
      <c r="AI29" s="144" t="str">
        <f t="shared" si="29"/>
        <v/>
      </c>
      <c r="AJ29" s="144" t="str">
        <f t="shared" si="29"/>
        <v/>
      </c>
      <c r="AK29" s="144" t="str">
        <f t="shared" si="29"/>
        <v/>
      </c>
      <c r="AL29" s="144" t="str">
        <f t="shared" si="29"/>
        <v/>
      </c>
      <c r="AM29" s="144" t="str">
        <f t="shared" si="29"/>
        <v/>
      </c>
      <c r="AN29" s="136" t="str">
        <f t="shared" si="15"/>
        <v/>
      </c>
      <c r="AO29" s="156"/>
      <c r="AP29" s="170"/>
      <c r="AQ29" s="171">
        <f t="shared" si="16"/>
        <v>0</v>
      </c>
      <c r="AR29" s="171">
        <f t="shared" si="17"/>
        <v>0</v>
      </c>
      <c r="AS29" s="171">
        <f t="shared" si="18"/>
        <v>0</v>
      </c>
      <c r="AT29" s="171">
        <f t="shared" si="6"/>
        <v>0</v>
      </c>
      <c r="AU29" s="171">
        <f t="shared" si="7"/>
        <v>0</v>
      </c>
      <c r="AV29" s="171">
        <f t="shared" si="8"/>
        <v>0</v>
      </c>
      <c r="AW29" s="171">
        <f t="shared" si="9"/>
        <v>0</v>
      </c>
      <c r="AX29" s="157"/>
      <c r="AY29" s="157"/>
      <c r="AZ29" s="157"/>
      <c r="BA29" s="157"/>
      <c r="BB29" s="157"/>
      <c r="BC29" s="157">
        <f t="shared" si="10"/>
        <v>0</v>
      </c>
      <c r="BD29" s="157">
        <f t="shared" si="11"/>
        <v>0</v>
      </c>
      <c r="BE29" s="157"/>
      <c r="BF29" s="157"/>
      <c r="BG29" s="157"/>
    </row>
    <row r="30" ht="14.25" customHeight="1">
      <c r="A30" s="132">
        <v>17.0</v>
      </c>
      <c r="B30" s="132" t="str">
        <f>IF(LEN(C30)&gt;0,VLOOKUP($F$6,DATA!$A:$S,2,FALSE),"")</f>
        <v/>
      </c>
      <c r="C30" s="134" t="str">
        <f t="shared" si="2"/>
        <v/>
      </c>
      <c r="D30" s="172"/>
      <c r="E30" s="136"/>
      <c r="F30" s="174"/>
      <c r="G30" s="174"/>
      <c r="H30" s="168"/>
      <c r="I30" s="144" t="str">
        <f t="shared" ref="I30:AM30" si="30">IF(AND(LEN($E30)&gt;0,I$12&lt;&gt;"sá.",I$12&lt;&gt;"do.",I$12&lt;&gt;""),"TR","")</f>
        <v/>
      </c>
      <c r="J30" s="144" t="str">
        <f t="shared" si="30"/>
        <v/>
      </c>
      <c r="K30" s="144" t="str">
        <f t="shared" si="30"/>
        <v/>
      </c>
      <c r="L30" s="144" t="str">
        <f t="shared" si="30"/>
        <v/>
      </c>
      <c r="M30" s="144" t="str">
        <f t="shared" si="30"/>
        <v/>
      </c>
      <c r="N30" s="144" t="str">
        <f t="shared" si="30"/>
        <v/>
      </c>
      <c r="O30" s="144" t="str">
        <f t="shared" si="30"/>
        <v/>
      </c>
      <c r="P30" s="144" t="str">
        <f t="shared" si="30"/>
        <v/>
      </c>
      <c r="Q30" s="144" t="str">
        <f t="shared" si="30"/>
        <v/>
      </c>
      <c r="R30" s="144" t="str">
        <f t="shared" si="30"/>
        <v/>
      </c>
      <c r="S30" s="144" t="str">
        <f t="shared" si="30"/>
        <v/>
      </c>
      <c r="T30" s="144" t="str">
        <f t="shared" si="30"/>
        <v/>
      </c>
      <c r="U30" s="144" t="str">
        <f t="shared" si="30"/>
        <v/>
      </c>
      <c r="V30" s="144" t="str">
        <f t="shared" si="30"/>
        <v/>
      </c>
      <c r="W30" s="144" t="str">
        <f t="shared" si="30"/>
        <v/>
      </c>
      <c r="X30" s="144" t="str">
        <f t="shared" si="30"/>
        <v/>
      </c>
      <c r="Y30" s="144" t="str">
        <f t="shared" si="30"/>
        <v/>
      </c>
      <c r="Z30" s="144" t="str">
        <f t="shared" si="30"/>
        <v/>
      </c>
      <c r="AA30" s="144" t="str">
        <f t="shared" si="30"/>
        <v/>
      </c>
      <c r="AB30" s="144" t="str">
        <f t="shared" si="30"/>
        <v/>
      </c>
      <c r="AC30" s="144" t="str">
        <f t="shared" si="30"/>
        <v/>
      </c>
      <c r="AD30" s="144" t="str">
        <f t="shared" si="30"/>
        <v/>
      </c>
      <c r="AE30" s="144" t="str">
        <f t="shared" si="30"/>
        <v/>
      </c>
      <c r="AF30" s="144" t="str">
        <f t="shared" si="30"/>
        <v/>
      </c>
      <c r="AG30" s="144" t="str">
        <f t="shared" si="30"/>
        <v/>
      </c>
      <c r="AH30" s="144" t="str">
        <f t="shared" si="30"/>
        <v/>
      </c>
      <c r="AI30" s="144" t="str">
        <f t="shared" si="30"/>
        <v/>
      </c>
      <c r="AJ30" s="144" t="str">
        <f t="shared" si="30"/>
        <v/>
      </c>
      <c r="AK30" s="144" t="str">
        <f t="shared" si="30"/>
        <v/>
      </c>
      <c r="AL30" s="144" t="str">
        <f t="shared" si="30"/>
        <v/>
      </c>
      <c r="AM30" s="144" t="str">
        <f t="shared" si="30"/>
        <v/>
      </c>
      <c r="AN30" s="136" t="str">
        <f t="shared" si="15"/>
        <v/>
      </c>
      <c r="AO30" s="156"/>
      <c r="AP30" s="170"/>
      <c r="AQ30" s="171">
        <f t="shared" si="16"/>
        <v>0</v>
      </c>
      <c r="AR30" s="171">
        <f t="shared" si="17"/>
        <v>0</v>
      </c>
      <c r="AS30" s="171">
        <f t="shared" si="18"/>
        <v>0</v>
      </c>
      <c r="AT30" s="171">
        <f t="shared" si="6"/>
        <v>0</v>
      </c>
      <c r="AU30" s="171">
        <f t="shared" si="7"/>
        <v>0</v>
      </c>
      <c r="AV30" s="171">
        <f t="shared" si="8"/>
        <v>0</v>
      </c>
      <c r="AW30" s="171">
        <f t="shared" si="9"/>
        <v>0</v>
      </c>
      <c r="AX30" s="157"/>
      <c r="AY30" s="157"/>
      <c r="AZ30" s="157"/>
      <c r="BA30" s="157"/>
      <c r="BB30" s="157"/>
      <c r="BC30" s="157">
        <f t="shared" si="10"/>
        <v>0</v>
      </c>
      <c r="BD30" s="157">
        <f t="shared" si="11"/>
        <v>0</v>
      </c>
      <c r="BE30" s="157"/>
      <c r="BF30" s="157"/>
      <c r="BG30" s="157"/>
    </row>
    <row r="31" ht="14.25" customHeight="1">
      <c r="A31" s="132">
        <v>18.0</v>
      </c>
      <c r="B31" s="132" t="str">
        <f>IF(LEN(C31)&gt;0,VLOOKUP($F$6,DATA!$A:$S,2,FALSE),"")</f>
        <v/>
      </c>
      <c r="C31" s="134" t="str">
        <f t="shared" si="2"/>
        <v/>
      </c>
      <c r="D31" s="172"/>
      <c r="E31" s="136"/>
      <c r="F31" s="174"/>
      <c r="G31" s="174"/>
      <c r="H31" s="168"/>
      <c r="I31" s="144" t="str">
        <f t="shared" ref="I31:AM31" si="31">IF(AND(LEN($E31)&gt;0,I$12&lt;&gt;"sá.",I$12&lt;&gt;"do.",I$12&lt;&gt;""),"TR","")</f>
        <v/>
      </c>
      <c r="J31" s="144" t="str">
        <f t="shared" si="31"/>
        <v/>
      </c>
      <c r="K31" s="144" t="str">
        <f t="shared" si="31"/>
        <v/>
      </c>
      <c r="L31" s="144" t="str">
        <f t="shared" si="31"/>
        <v/>
      </c>
      <c r="M31" s="144" t="str">
        <f t="shared" si="31"/>
        <v/>
      </c>
      <c r="N31" s="144" t="str">
        <f t="shared" si="31"/>
        <v/>
      </c>
      <c r="O31" s="144" t="str">
        <f t="shared" si="31"/>
        <v/>
      </c>
      <c r="P31" s="144" t="str">
        <f t="shared" si="31"/>
        <v/>
      </c>
      <c r="Q31" s="144" t="str">
        <f t="shared" si="31"/>
        <v/>
      </c>
      <c r="R31" s="144" t="str">
        <f t="shared" si="31"/>
        <v/>
      </c>
      <c r="S31" s="144" t="str">
        <f t="shared" si="31"/>
        <v/>
      </c>
      <c r="T31" s="144" t="str">
        <f t="shared" si="31"/>
        <v/>
      </c>
      <c r="U31" s="144" t="str">
        <f t="shared" si="31"/>
        <v/>
      </c>
      <c r="V31" s="144" t="str">
        <f t="shared" si="31"/>
        <v/>
      </c>
      <c r="W31" s="144" t="str">
        <f t="shared" si="31"/>
        <v/>
      </c>
      <c r="X31" s="144" t="str">
        <f t="shared" si="31"/>
        <v/>
      </c>
      <c r="Y31" s="144" t="str">
        <f t="shared" si="31"/>
        <v/>
      </c>
      <c r="Z31" s="144" t="str">
        <f t="shared" si="31"/>
        <v/>
      </c>
      <c r="AA31" s="144" t="str">
        <f t="shared" si="31"/>
        <v/>
      </c>
      <c r="AB31" s="144" t="str">
        <f t="shared" si="31"/>
        <v/>
      </c>
      <c r="AC31" s="144" t="str">
        <f t="shared" si="31"/>
        <v/>
      </c>
      <c r="AD31" s="144" t="str">
        <f t="shared" si="31"/>
        <v/>
      </c>
      <c r="AE31" s="144" t="str">
        <f t="shared" si="31"/>
        <v/>
      </c>
      <c r="AF31" s="144" t="str">
        <f t="shared" si="31"/>
        <v/>
      </c>
      <c r="AG31" s="144" t="str">
        <f t="shared" si="31"/>
        <v/>
      </c>
      <c r="AH31" s="144" t="str">
        <f t="shared" si="31"/>
        <v/>
      </c>
      <c r="AI31" s="144" t="str">
        <f t="shared" si="31"/>
        <v/>
      </c>
      <c r="AJ31" s="144" t="str">
        <f t="shared" si="31"/>
        <v/>
      </c>
      <c r="AK31" s="144" t="str">
        <f t="shared" si="31"/>
        <v/>
      </c>
      <c r="AL31" s="144" t="str">
        <f t="shared" si="31"/>
        <v/>
      </c>
      <c r="AM31" s="144" t="str">
        <f t="shared" si="31"/>
        <v/>
      </c>
      <c r="AN31" s="136" t="str">
        <f t="shared" si="15"/>
        <v/>
      </c>
      <c r="AO31" s="156"/>
      <c r="AP31" s="170"/>
      <c r="AQ31" s="171">
        <f t="shared" si="16"/>
        <v>0</v>
      </c>
      <c r="AR31" s="171">
        <f t="shared" si="17"/>
        <v>0</v>
      </c>
      <c r="AS31" s="171">
        <f t="shared" si="18"/>
        <v>0</v>
      </c>
      <c r="AT31" s="171">
        <f t="shared" si="6"/>
        <v>0</v>
      </c>
      <c r="AU31" s="171">
        <f t="shared" si="7"/>
        <v>0</v>
      </c>
      <c r="AV31" s="171">
        <f t="shared" si="8"/>
        <v>0</v>
      </c>
      <c r="AW31" s="171">
        <f t="shared" si="9"/>
        <v>0</v>
      </c>
      <c r="AX31" s="157"/>
      <c r="AY31" s="157"/>
      <c r="AZ31" s="157"/>
      <c r="BA31" s="157"/>
      <c r="BB31" s="157"/>
      <c r="BC31" s="157">
        <f t="shared" si="10"/>
        <v>0</v>
      </c>
      <c r="BD31" s="157">
        <f t="shared" si="11"/>
        <v>0</v>
      </c>
      <c r="BE31" s="157"/>
      <c r="BF31" s="157"/>
      <c r="BG31" s="157"/>
    </row>
    <row r="32" ht="14.25" customHeight="1">
      <c r="A32" s="132">
        <v>19.0</v>
      </c>
      <c r="B32" s="132" t="str">
        <f>IF(LEN(C32)&gt;0,VLOOKUP($F$6,DATA!$A:$S,2,FALSE),"")</f>
        <v/>
      </c>
      <c r="C32" s="134" t="str">
        <f t="shared" si="2"/>
        <v/>
      </c>
      <c r="D32" s="172"/>
      <c r="E32" s="136"/>
      <c r="F32" s="174"/>
      <c r="G32" s="174"/>
      <c r="H32" s="168"/>
      <c r="I32" s="144" t="str">
        <f t="shared" ref="I32:AM32" si="32">IF(AND(LEN($E32)&gt;0,I$12&lt;&gt;"sá.",I$12&lt;&gt;"do.",I$12&lt;&gt;""),"TR","")</f>
        <v/>
      </c>
      <c r="J32" s="144" t="str">
        <f t="shared" si="32"/>
        <v/>
      </c>
      <c r="K32" s="144" t="str">
        <f t="shared" si="32"/>
        <v/>
      </c>
      <c r="L32" s="144" t="str">
        <f t="shared" si="32"/>
        <v/>
      </c>
      <c r="M32" s="144" t="str">
        <f t="shared" si="32"/>
        <v/>
      </c>
      <c r="N32" s="144" t="str">
        <f t="shared" si="32"/>
        <v/>
      </c>
      <c r="O32" s="144" t="str">
        <f t="shared" si="32"/>
        <v/>
      </c>
      <c r="P32" s="144" t="str">
        <f t="shared" si="32"/>
        <v/>
      </c>
      <c r="Q32" s="144" t="str">
        <f t="shared" si="32"/>
        <v/>
      </c>
      <c r="R32" s="144" t="str">
        <f t="shared" si="32"/>
        <v/>
      </c>
      <c r="S32" s="144" t="str">
        <f t="shared" si="32"/>
        <v/>
      </c>
      <c r="T32" s="144" t="str">
        <f t="shared" si="32"/>
        <v/>
      </c>
      <c r="U32" s="144" t="str">
        <f t="shared" si="32"/>
        <v/>
      </c>
      <c r="V32" s="144" t="str">
        <f t="shared" si="32"/>
        <v/>
      </c>
      <c r="W32" s="144" t="str">
        <f t="shared" si="32"/>
        <v/>
      </c>
      <c r="X32" s="144" t="str">
        <f t="shared" si="32"/>
        <v/>
      </c>
      <c r="Y32" s="144" t="str">
        <f t="shared" si="32"/>
        <v/>
      </c>
      <c r="Z32" s="144" t="str">
        <f t="shared" si="32"/>
        <v/>
      </c>
      <c r="AA32" s="144" t="str">
        <f t="shared" si="32"/>
        <v/>
      </c>
      <c r="AB32" s="144" t="str">
        <f t="shared" si="32"/>
        <v/>
      </c>
      <c r="AC32" s="144" t="str">
        <f t="shared" si="32"/>
        <v/>
      </c>
      <c r="AD32" s="144" t="str">
        <f t="shared" si="32"/>
        <v/>
      </c>
      <c r="AE32" s="144" t="str">
        <f t="shared" si="32"/>
        <v/>
      </c>
      <c r="AF32" s="144" t="str">
        <f t="shared" si="32"/>
        <v/>
      </c>
      <c r="AG32" s="144" t="str">
        <f t="shared" si="32"/>
        <v/>
      </c>
      <c r="AH32" s="144" t="str">
        <f t="shared" si="32"/>
        <v/>
      </c>
      <c r="AI32" s="144" t="str">
        <f t="shared" si="32"/>
        <v/>
      </c>
      <c r="AJ32" s="144" t="str">
        <f t="shared" si="32"/>
        <v/>
      </c>
      <c r="AK32" s="144" t="str">
        <f t="shared" si="32"/>
        <v/>
      </c>
      <c r="AL32" s="144" t="str">
        <f t="shared" si="32"/>
        <v/>
      </c>
      <c r="AM32" s="144" t="str">
        <f t="shared" si="32"/>
        <v/>
      </c>
      <c r="AN32" s="136" t="str">
        <f t="shared" si="15"/>
        <v/>
      </c>
      <c r="AO32" s="156"/>
      <c r="AP32" s="170"/>
      <c r="AQ32" s="171">
        <f t="shared" si="16"/>
        <v>0</v>
      </c>
      <c r="AR32" s="171">
        <f t="shared" si="17"/>
        <v>0</v>
      </c>
      <c r="AS32" s="171">
        <f t="shared" si="18"/>
        <v>0</v>
      </c>
      <c r="AT32" s="171">
        <f t="shared" si="6"/>
        <v>0</v>
      </c>
      <c r="AU32" s="171">
        <f t="shared" si="7"/>
        <v>0</v>
      </c>
      <c r="AV32" s="171">
        <f t="shared" si="8"/>
        <v>0</v>
      </c>
      <c r="AW32" s="171">
        <f t="shared" si="9"/>
        <v>0</v>
      </c>
      <c r="AX32" s="157"/>
      <c r="AY32" s="157"/>
      <c r="AZ32" s="157"/>
      <c r="BA32" s="157"/>
      <c r="BB32" s="157"/>
      <c r="BC32" s="157">
        <f t="shared" si="10"/>
        <v>0</v>
      </c>
      <c r="BD32" s="157">
        <f t="shared" si="11"/>
        <v>0</v>
      </c>
      <c r="BE32" s="157"/>
      <c r="BF32" s="157"/>
      <c r="BG32" s="157"/>
    </row>
    <row r="33" ht="14.25" customHeight="1">
      <c r="A33" s="132">
        <v>20.0</v>
      </c>
      <c r="B33" s="132" t="str">
        <f>IF(LEN(C33)&gt;0,VLOOKUP($F$6,DATA!$A:$S,2,FALSE),"")</f>
        <v/>
      </c>
      <c r="C33" s="134" t="str">
        <f t="shared" si="2"/>
        <v/>
      </c>
      <c r="D33" s="172"/>
      <c r="E33" s="136"/>
      <c r="F33" s="174"/>
      <c r="G33" s="174"/>
      <c r="H33" s="168"/>
      <c r="I33" s="144" t="str">
        <f t="shared" ref="I33:AM33" si="33">IF(AND(LEN($E33)&gt;0,I$12&lt;&gt;"sá.",I$12&lt;&gt;"do.",I$12&lt;&gt;""),"TR","")</f>
        <v/>
      </c>
      <c r="J33" s="144" t="str">
        <f t="shared" si="33"/>
        <v/>
      </c>
      <c r="K33" s="144" t="str">
        <f t="shared" si="33"/>
        <v/>
      </c>
      <c r="L33" s="144" t="str">
        <f t="shared" si="33"/>
        <v/>
      </c>
      <c r="M33" s="144" t="str">
        <f t="shared" si="33"/>
        <v/>
      </c>
      <c r="N33" s="144" t="str">
        <f t="shared" si="33"/>
        <v/>
      </c>
      <c r="O33" s="144" t="str">
        <f t="shared" si="33"/>
        <v/>
      </c>
      <c r="P33" s="144" t="str">
        <f t="shared" si="33"/>
        <v/>
      </c>
      <c r="Q33" s="144" t="str">
        <f t="shared" si="33"/>
        <v/>
      </c>
      <c r="R33" s="144" t="str">
        <f t="shared" si="33"/>
        <v/>
      </c>
      <c r="S33" s="144" t="str">
        <f t="shared" si="33"/>
        <v/>
      </c>
      <c r="T33" s="144" t="str">
        <f t="shared" si="33"/>
        <v/>
      </c>
      <c r="U33" s="144" t="str">
        <f t="shared" si="33"/>
        <v/>
      </c>
      <c r="V33" s="144" t="str">
        <f t="shared" si="33"/>
        <v/>
      </c>
      <c r="W33" s="144" t="str">
        <f t="shared" si="33"/>
        <v/>
      </c>
      <c r="X33" s="144" t="str">
        <f t="shared" si="33"/>
        <v/>
      </c>
      <c r="Y33" s="144" t="str">
        <f t="shared" si="33"/>
        <v/>
      </c>
      <c r="Z33" s="144" t="str">
        <f t="shared" si="33"/>
        <v/>
      </c>
      <c r="AA33" s="144" t="str">
        <f t="shared" si="33"/>
        <v/>
      </c>
      <c r="AB33" s="144" t="str">
        <f t="shared" si="33"/>
        <v/>
      </c>
      <c r="AC33" s="144" t="str">
        <f t="shared" si="33"/>
        <v/>
      </c>
      <c r="AD33" s="144" t="str">
        <f t="shared" si="33"/>
        <v/>
      </c>
      <c r="AE33" s="144" t="str">
        <f t="shared" si="33"/>
        <v/>
      </c>
      <c r="AF33" s="144" t="str">
        <f t="shared" si="33"/>
        <v/>
      </c>
      <c r="AG33" s="144" t="str">
        <f t="shared" si="33"/>
        <v/>
      </c>
      <c r="AH33" s="144" t="str">
        <f t="shared" si="33"/>
        <v/>
      </c>
      <c r="AI33" s="144" t="str">
        <f t="shared" si="33"/>
        <v/>
      </c>
      <c r="AJ33" s="144" t="str">
        <f t="shared" si="33"/>
        <v/>
      </c>
      <c r="AK33" s="144" t="str">
        <f t="shared" si="33"/>
        <v/>
      </c>
      <c r="AL33" s="144" t="str">
        <f t="shared" si="33"/>
        <v/>
      </c>
      <c r="AM33" s="144" t="str">
        <f t="shared" si="33"/>
        <v/>
      </c>
      <c r="AN33" s="136" t="str">
        <f t="shared" si="15"/>
        <v/>
      </c>
      <c r="AO33" s="156"/>
      <c r="AP33" s="170"/>
      <c r="AQ33" s="171">
        <f t="shared" si="16"/>
        <v>0</v>
      </c>
      <c r="AR33" s="171">
        <f t="shared" si="17"/>
        <v>0</v>
      </c>
      <c r="AS33" s="171">
        <f t="shared" si="18"/>
        <v>0</v>
      </c>
      <c r="AT33" s="171">
        <f t="shared" si="6"/>
        <v>0</v>
      </c>
      <c r="AU33" s="171">
        <f t="shared" si="7"/>
        <v>0</v>
      </c>
      <c r="AV33" s="171">
        <f t="shared" si="8"/>
        <v>0</v>
      </c>
      <c r="AW33" s="171">
        <f t="shared" si="9"/>
        <v>0</v>
      </c>
      <c r="AX33" s="157"/>
      <c r="AY33" s="157"/>
      <c r="AZ33" s="157"/>
      <c r="BA33" s="157"/>
      <c r="BB33" s="157"/>
      <c r="BC33" s="157">
        <f t="shared" si="10"/>
        <v>0</v>
      </c>
      <c r="BD33" s="157">
        <f t="shared" si="11"/>
        <v>0</v>
      </c>
      <c r="BE33" s="157"/>
      <c r="BF33" s="157"/>
      <c r="BG33" s="157"/>
    </row>
    <row r="34" ht="14.25" customHeight="1">
      <c r="A34" s="132">
        <v>21.0</v>
      </c>
      <c r="B34" s="132" t="str">
        <f>IF(LEN(C34)&gt;0,VLOOKUP($F$6,DATA!$A:$S,2,FALSE),"")</f>
        <v/>
      </c>
      <c r="C34" s="134" t="str">
        <f t="shared" si="2"/>
        <v/>
      </c>
      <c r="D34" s="172"/>
      <c r="E34" s="136"/>
      <c r="F34" s="174"/>
      <c r="G34" s="174"/>
      <c r="H34" s="168"/>
      <c r="I34" s="144" t="str">
        <f t="shared" ref="I34:AM34" si="34">IF(AND(LEN($E34)&gt;0,I$12&lt;&gt;"sá.",I$12&lt;&gt;"do.",I$12&lt;&gt;""),"TR","")</f>
        <v/>
      </c>
      <c r="J34" s="144" t="str">
        <f t="shared" si="34"/>
        <v/>
      </c>
      <c r="K34" s="144" t="str">
        <f t="shared" si="34"/>
        <v/>
      </c>
      <c r="L34" s="144" t="str">
        <f t="shared" si="34"/>
        <v/>
      </c>
      <c r="M34" s="144" t="str">
        <f t="shared" si="34"/>
        <v/>
      </c>
      <c r="N34" s="144" t="str">
        <f t="shared" si="34"/>
        <v/>
      </c>
      <c r="O34" s="144" t="str">
        <f t="shared" si="34"/>
        <v/>
      </c>
      <c r="P34" s="144" t="str">
        <f t="shared" si="34"/>
        <v/>
      </c>
      <c r="Q34" s="144" t="str">
        <f t="shared" si="34"/>
        <v/>
      </c>
      <c r="R34" s="144" t="str">
        <f t="shared" si="34"/>
        <v/>
      </c>
      <c r="S34" s="144" t="str">
        <f t="shared" si="34"/>
        <v/>
      </c>
      <c r="T34" s="144" t="str">
        <f t="shared" si="34"/>
        <v/>
      </c>
      <c r="U34" s="144" t="str">
        <f t="shared" si="34"/>
        <v/>
      </c>
      <c r="V34" s="144" t="str">
        <f t="shared" si="34"/>
        <v/>
      </c>
      <c r="W34" s="144" t="str">
        <f t="shared" si="34"/>
        <v/>
      </c>
      <c r="X34" s="144" t="str">
        <f t="shared" si="34"/>
        <v/>
      </c>
      <c r="Y34" s="144" t="str">
        <f t="shared" si="34"/>
        <v/>
      </c>
      <c r="Z34" s="144" t="str">
        <f t="shared" si="34"/>
        <v/>
      </c>
      <c r="AA34" s="144" t="str">
        <f t="shared" si="34"/>
        <v/>
      </c>
      <c r="AB34" s="144" t="str">
        <f t="shared" si="34"/>
        <v/>
      </c>
      <c r="AC34" s="144" t="str">
        <f t="shared" si="34"/>
        <v/>
      </c>
      <c r="AD34" s="144" t="str">
        <f t="shared" si="34"/>
        <v/>
      </c>
      <c r="AE34" s="144" t="str">
        <f t="shared" si="34"/>
        <v/>
      </c>
      <c r="AF34" s="144" t="str">
        <f t="shared" si="34"/>
        <v/>
      </c>
      <c r="AG34" s="144" t="str">
        <f t="shared" si="34"/>
        <v/>
      </c>
      <c r="AH34" s="144" t="str">
        <f t="shared" si="34"/>
        <v/>
      </c>
      <c r="AI34" s="144" t="str">
        <f t="shared" si="34"/>
        <v/>
      </c>
      <c r="AJ34" s="144" t="str">
        <f t="shared" si="34"/>
        <v/>
      </c>
      <c r="AK34" s="144" t="str">
        <f t="shared" si="34"/>
        <v/>
      </c>
      <c r="AL34" s="144" t="str">
        <f t="shared" si="34"/>
        <v/>
      </c>
      <c r="AM34" s="144" t="str">
        <f t="shared" si="34"/>
        <v/>
      </c>
      <c r="AN34" s="136" t="str">
        <f t="shared" si="15"/>
        <v/>
      </c>
      <c r="AO34" s="156"/>
      <c r="AP34" s="170"/>
      <c r="AQ34" s="171">
        <f t="shared" si="16"/>
        <v>0</v>
      </c>
      <c r="AR34" s="171">
        <f t="shared" si="17"/>
        <v>0</v>
      </c>
      <c r="AS34" s="171">
        <f t="shared" si="18"/>
        <v>0</v>
      </c>
      <c r="AT34" s="171">
        <f t="shared" si="6"/>
        <v>0</v>
      </c>
      <c r="AU34" s="171">
        <f t="shared" si="7"/>
        <v>0</v>
      </c>
      <c r="AV34" s="171">
        <f t="shared" si="8"/>
        <v>0</v>
      </c>
      <c r="AW34" s="171">
        <f t="shared" si="9"/>
        <v>0</v>
      </c>
      <c r="AX34" s="157"/>
      <c r="AY34" s="157"/>
      <c r="AZ34" s="157"/>
      <c r="BA34" s="157"/>
      <c r="BB34" s="157"/>
      <c r="BC34" s="157">
        <f t="shared" si="10"/>
        <v>0</v>
      </c>
      <c r="BD34" s="157">
        <f t="shared" si="11"/>
        <v>0</v>
      </c>
      <c r="BE34" s="157"/>
      <c r="BF34" s="157"/>
      <c r="BG34" s="157"/>
    </row>
    <row r="35" ht="14.25" customHeight="1">
      <c r="A35" s="132">
        <v>22.0</v>
      </c>
      <c r="B35" s="132" t="str">
        <f>IF(LEN(C35)&gt;0,VLOOKUP($F$6,DATA!$A:$S,2,FALSE),"")</f>
        <v/>
      </c>
      <c r="C35" s="134" t="str">
        <f t="shared" si="2"/>
        <v/>
      </c>
      <c r="D35" s="172"/>
      <c r="E35" s="136"/>
      <c r="F35" s="174"/>
      <c r="G35" s="174"/>
      <c r="H35" s="168"/>
      <c r="I35" s="144" t="str">
        <f t="shared" ref="I35:AM35" si="35">IF(AND(LEN($E35)&gt;0,I$12&lt;&gt;"sá.",I$12&lt;&gt;"do.",I$12&lt;&gt;""),"TR","")</f>
        <v/>
      </c>
      <c r="J35" s="144" t="str">
        <f t="shared" si="35"/>
        <v/>
      </c>
      <c r="K35" s="144" t="str">
        <f t="shared" si="35"/>
        <v/>
      </c>
      <c r="L35" s="144" t="str">
        <f t="shared" si="35"/>
        <v/>
      </c>
      <c r="M35" s="144" t="str">
        <f t="shared" si="35"/>
        <v/>
      </c>
      <c r="N35" s="144" t="str">
        <f t="shared" si="35"/>
        <v/>
      </c>
      <c r="O35" s="144" t="str">
        <f t="shared" si="35"/>
        <v/>
      </c>
      <c r="P35" s="144" t="str">
        <f t="shared" si="35"/>
        <v/>
      </c>
      <c r="Q35" s="144" t="str">
        <f t="shared" si="35"/>
        <v/>
      </c>
      <c r="R35" s="144" t="str">
        <f t="shared" si="35"/>
        <v/>
      </c>
      <c r="S35" s="144" t="str">
        <f t="shared" si="35"/>
        <v/>
      </c>
      <c r="T35" s="144" t="str">
        <f t="shared" si="35"/>
        <v/>
      </c>
      <c r="U35" s="144" t="str">
        <f t="shared" si="35"/>
        <v/>
      </c>
      <c r="V35" s="144" t="str">
        <f t="shared" si="35"/>
        <v/>
      </c>
      <c r="W35" s="144" t="str">
        <f t="shared" si="35"/>
        <v/>
      </c>
      <c r="X35" s="144" t="str">
        <f t="shared" si="35"/>
        <v/>
      </c>
      <c r="Y35" s="144" t="str">
        <f t="shared" si="35"/>
        <v/>
      </c>
      <c r="Z35" s="144" t="str">
        <f t="shared" si="35"/>
        <v/>
      </c>
      <c r="AA35" s="144" t="str">
        <f t="shared" si="35"/>
        <v/>
      </c>
      <c r="AB35" s="144" t="str">
        <f t="shared" si="35"/>
        <v/>
      </c>
      <c r="AC35" s="144" t="str">
        <f t="shared" si="35"/>
        <v/>
      </c>
      <c r="AD35" s="144" t="str">
        <f t="shared" si="35"/>
        <v/>
      </c>
      <c r="AE35" s="144" t="str">
        <f t="shared" si="35"/>
        <v/>
      </c>
      <c r="AF35" s="144" t="str">
        <f t="shared" si="35"/>
        <v/>
      </c>
      <c r="AG35" s="144" t="str">
        <f t="shared" si="35"/>
        <v/>
      </c>
      <c r="AH35" s="144" t="str">
        <f t="shared" si="35"/>
        <v/>
      </c>
      <c r="AI35" s="144" t="str">
        <f t="shared" si="35"/>
        <v/>
      </c>
      <c r="AJ35" s="144" t="str">
        <f t="shared" si="35"/>
        <v/>
      </c>
      <c r="AK35" s="144" t="str">
        <f t="shared" si="35"/>
        <v/>
      </c>
      <c r="AL35" s="144" t="str">
        <f t="shared" si="35"/>
        <v/>
      </c>
      <c r="AM35" s="144" t="str">
        <f t="shared" si="35"/>
        <v/>
      </c>
      <c r="AN35" s="136" t="str">
        <f t="shared" si="15"/>
        <v/>
      </c>
      <c r="AO35" s="156"/>
      <c r="AP35" s="170"/>
      <c r="AQ35" s="171">
        <f t="shared" si="16"/>
        <v>0</v>
      </c>
      <c r="AR35" s="171">
        <f t="shared" si="17"/>
        <v>0</v>
      </c>
      <c r="AS35" s="171">
        <f t="shared" si="18"/>
        <v>0</v>
      </c>
      <c r="AT35" s="171">
        <f t="shared" si="6"/>
        <v>0</v>
      </c>
      <c r="AU35" s="171">
        <f t="shared" si="7"/>
        <v>0</v>
      </c>
      <c r="AV35" s="171">
        <f t="shared" si="8"/>
        <v>0</v>
      </c>
      <c r="AW35" s="171">
        <f t="shared" si="9"/>
        <v>0</v>
      </c>
      <c r="AX35" s="157"/>
      <c r="AY35" s="157"/>
      <c r="AZ35" s="157"/>
      <c r="BA35" s="157"/>
      <c r="BB35" s="157"/>
      <c r="BC35" s="157">
        <f t="shared" si="10"/>
        <v>0</v>
      </c>
      <c r="BD35" s="157">
        <f t="shared" si="11"/>
        <v>0</v>
      </c>
      <c r="BE35" s="157"/>
      <c r="BF35" s="157"/>
      <c r="BG35" s="157"/>
    </row>
    <row r="36" ht="14.25" customHeight="1">
      <c r="A36" s="132">
        <v>23.0</v>
      </c>
      <c r="B36" s="132" t="str">
        <f>IF(LEN(C36)&gt;0,VLOOKUP($F$6,DATA!$A:$S,2,FALSE),"")</f>
        <v/>
      </c>
      <c r="C36" s="134" t="str">
        <f t="shared" si="2"/>
        <v/>
      </c>
      <c r="D36" s="172"/>
      <c r="E36" s="136"/>
      <c r="F36" s="174"/>
      <c r="G36" s="174"/>
      <c r="H36" s="168"/>
      <c r="I36" s="144" t="str">
        <f t="shared" ref="I36:AM36" si="36">IF(AND(LEN($E36)&gt;0,I$12&lt;&gt;"sá.",I$12&lt;&gt;"do.",I$12&lt;&gt;""),"TR","")</f>
        <v/>
      </c>
      <c r="J36" s="144" t="str">
        <f t="shared" si="36"/>
        <v/>
      </c>
      <c r="K36" s="144" t="str">
        <f t="shared" si="36"/>
        <v/>
      </c>
      <c r="L36" s="144" t="str">
        <f t="shared" si="36"/>
        <v/>
      </c>
      <c r="M36" s="144" t="str">
        <f t="shared" si="36"/>
        <v/>
      </c>
      <c r="N36" s="144" t="str">
        <f t="shared" si="36"/>
        <v/>
      </c>
      <c r="O36" s="144" t="str">
        <f t="shared" si="36"/>
        <v/>
      </c>
      <c r="P36" s="144" t="str">
        <f t="shared" si="36"/>
        <v/>
      </c>
      <c r="Q36" s="144" t="str">
        <f t="shared" si="36"/>
        <v/>
      </c>
      <c r="R36" s="144" t="str">
        <f t="shared" si="36"/>
        <v/>
      </c>
      <c r="S36" s="144" t="str">
        <f t="shared" si="36"/>
        <v/>
      </c>
      <c r="T36" s="144" t="str">
        <f t="shared" si="36"/>
        <v/>
      </c>
      <c r="U36" s="144" t="str">
        <f t="shared" si="36"/>
        <v/>
      </c>
      <c r="V36" s="144" t="str">
        <f t="shared" si="36"/>
        <v/>
      </c>
      <c r="W36" s="144" t="str">
        <f t="shared" si="36"/>
        <v/>
      </c>
      <c r="X36" s="144" t="str">
        <f t="shared" si="36"/>
        <v/>
      </c>
      <c r="Y36" s="144" t="str">
        <f t="shared" si="36"/>
        <v/>
      </c>
      <c r="Z36" s="144" t="str">
        <f t="shared" si="36"/>
        <v/>
      </c>
      <c r="AA36" s="144" t="str">
        <f t="shared" si="36"/>
        <v/>
      </c>
      <c r="AB36" s="144" t="str">
        <f t="shared" si="36"/>
        <v/>
      </c>
      <c r="AC36" s="144" t="str">
        <f t="shared" si="36"/>
        <v/>
      </c>
      <c r="AD36" s="144" t="str">
        <f t="shared" si="36"/>
        <v/>
      </c>
      <c r="AE36" s="144" t="str">
        <f t="shared" si="36"/>
        <v/>
      </c>
      <c r="AF36" s="144" t="str">
        <f t="shared" si="36"/>
        <v/>
      </c>
      <c r="AG36" s="144" t="str">
        <f t="shared" si="36"/>
        <v/>
      </c>
      <c r="AH36" s="144" t="str">
        <f t="shared" si="36"/>
        <v/>
      </c>
      <c r="AI36" s="144" t="str">
        <f t="shared" si="36"/>
        <v/>
      </c>
      <c r="AJ36" s="144" t="str">
        <f t="shared" si="36"/>
        <v/>
      </c>
      <c r="AK36" s="144" t="str">
        <f t="shared" si="36"/>
        <v/>
      </c>
      <c r="AL36" s="144" t="str">
        <f t="shared" si="36"/>
        <v/>
      </c>
      <c r="AM36" s="144" t="str">
        <f t="shared" si="36"/>
        <v/>
      </c>
      <c r="AN36" s="136" t="str">
        <f t="shared" si="15"/>
        <v/>
      </c>
      <c r="AO36" s="156"/>
      <c r="AP36" s="170"/>
      <c r="AQ36" s="171">
        <f t="shared" si="16"/>
        <v>0</v>
      </c>
      <c r="AR36" s="171">
        <f t="shared" si="17"/>
        <v>0</v>
      </c>
      <c r="AS36" s="171">
        <f t="shared" si="18"/>
        <v>0</v>
      </c>
      <c r="AT36" s="171">
        <f t="shared" si="6"/>
        <v>0</v>
      </c>
      <c r="AU36" s="171">
        <f t="shared" si="7"/>
        <v>0</v>
      </c>
      <c r="AV36" s="171">
        <f t="shared" si="8"/>
        <v>0</v>
      </c>
      <c r="AW36" s="171">
        <f t="shared" si="9"/>
        <v>0</v>
      </c>
      <c r="AX36" s="157"/>
      <c r="AY36" s="157"/>
      <c r="AZ36" s="157"/>
      <c r="BA36" s="157"/>
      <c r="BB36" s="157"/>
      <c r="BC36" s="157">
        <f t="shared" si="10"/>
        <v>0</v>
      </c>
      <c r="BD36" s="157">
        <f t="shared" si="11"/>
        <v>0</v>
      </c>
      <c r="BE36" s="157"/>
      <c r="BF36" s="157"/>
      <c r="BG36" s="157"/>
    </row>
    <row r="37" ht="14.25" customHeight="1">
      <c r="A37" s="132">
        <v>24.0</v>
      </c>
      <c r="B37" s="132" t="str">
        <f>IF(LEN(C37)&gt;0,VLOOKUP($F$6,DATA!$A:$S,2,FALSE),"")</f>
        <v/>
      </c>
      <c r="C37" s="134" t="str">
        <f t="shared" si="2"/>
        <v/>
      </c>
      <c r="D37" s="172"/>
      <c r="E37" s="136"/>
      <c r="F37" s="174"/>
      <c r="G37" s="174"/>
      <c r="H37" s="168"/>
      <c r="I37" s="144" t="str">
        <f t="shared" ref="I37:AM37" si="37">IF(AND(LEN($E37)&gt;0,I$12&lt;&gt;"sá.",I$12&lt;&gt;"do.",I$12&lt;&gt;""),"TR","")</f>
        <v/>
      </c>
      <c r="J37" s="144" t="str">
        <f t="shared" si="37"/>
        <v/>
      </c>
      <c r="K37" s="144" t="str">
        <f t="shared" si="37"/>
        <v/>
      </c>
      <c r="L37" s="144" t="str">
        <f t="shared" si="37"/>
        <v/>
      </c>
      <c r="M37" s="144" t="str">
        <f t="shared" si="37"/>
        <v/>
      </c>
      <c r="N37" s="144" t="str">
        <f t="shared" si="37"/>
        <v/>
      </c>
      <c r="O37" s="144" t="str">
        <f t="shared" si="37"/>
        <v/>
      </c>
      <c r="P37" s="144" t="str">
        <f t="shared" si="37"/>
        <v/>
      </c>
      <c r="Q37" s="144" t="str">
        <f t="shared" si="37"/>
        <v/>
      </c>
      <c r="R37" s="144" t="str">
        <f t="shared" si="37"/>
        <v/>
      </c>
      <c r="S37" s="144" t="str">
        <f t="shared" si="37"/>
        <v/>
      </c>
      <c r="T37" s="144" t="str">
        <f t="shared" si="37"/>
        <v/>
      </c>
      <c r="U37" s="144" t="str">
        <f t="shared" si="37"/>
        <v/>
      </c>
      <c r="V37" s="144" t="str">
        <f t="shared" si="37"/>
        <v/>
      </c>
      <c r="W37" s="144" t="str">
        <f t="shared" si="37"/>
        <v/>
      </c>
      <c r="X37" s="144" t="str">
        <f t="shared" si="37"/>
        <v/>
      </c>
      <c r="Y37" s="144" t="str">
        <f t="shared" si="37"/>
        <v/>
      </c>
      <c r="Z37" s="144" t="str">
        <f t="shared" si="37"/>
        <v/>
      </c>
      <c r="AA37" s="144" t="str">
        <f t="shared" si="37"/>
        <v/>
      </c>
      <c r="AB37" s="144" t="str">
        <f t="shared" si="37"/>
        <v/>
      </c>
      <c r="AC37" s="144" t="str">
        <f t="shared" si="37"/>
        <v/>
      </c>
      <c r="AD37" s="144" t="str">
        <f t="shared" si="37"/>
        <v/>
      </c>
      <c r="AE37" s="144" t="str">
        <f t="shared" si="37"/>
        <v/>
      </c>
      <c r="AF37" s="144" t="str">
        <f t="shared" si="37"/>
        <v/>
      </c>
      <c r="AG37" s="144" t="str">
        <f t="shared" si="37"/>
        <v/>
      </c>
      <c r="AH37" s="144" t="str">
        <f t="shared" si="37"/>
        <v/>
      </c>
      <c r="AI37" s="144" t="str">
        <f t="shared" si="37"/>
        <v/>
      </c>
      <c r="AJ37" s="144" t="str">
        <f t="shared" si="37"/>
        <v/>
      </c>
      <c r="AK37" s="144" t="str">
        <f t="shared" si="37"/>
        <v/>
      </c>
      <c r="AL37" s="144" t="str">
        <f t="shared" si="37"/>
        <v/>
      </c>
      <c r="AM37" s="144" t="str">
        <f t="shared" si="37"/>
        <v/>
      </c>
      <c r="AN37" s="136" t="str">
        <f t="shared" si="15"/>
        <v/>
      </c>
      <c r="AO37" s="156"/>
      <c r="AP37" s="170"/>
      <c r="AQ37" s="171">
        <f t="shared" si="16"/>
        <v>0</v>
      </c>
      <c r="AR37" s="171">
        <f t="shared" si="17"/>
        <v>0</v>
      </c>
      <c r="AS37" s="171">
        <f t="shared" si="18"/>
        <v>0</v>
      </c>
      <c r="AT37" s="171">
        <f t="shared" si="6"/>
        <v>0</v>
      </c>
      <c r="AU37" s="171">
        <f t="shared" si="7"/>
        <v>0</v>
      </c>
      <c r="AV37" s="171">
        <f t="shared" si="8"/>
        <v>0</v>
      </c>
      <c r="AW37" s="171">
        <f t="shared" si="9"/>
        <v>0</v>
      </c>
      <c r="AX37" s="157"/>
      <c r="AY37" s="157"/>
      <c r="AZ37" s="157"/>
      <c r="BA37" s="157"/>
      <c r="BB37" s="157"/>
      <c r="BC37" s="157">
        <f t="shared" si="10"/>
        <v>0</v>
      </c>
      <c r="BD37" s="157">
        <f t="shared" si="11"/>
        <v>0</v>
      </c>
      <c r="BE37" s="157"/>
      <c r="BF37" s="157"/>
      <c r="BG37" s="157"/>
    </row>
    <row r="38" ht="14.25" customHeight="1">
      <c r="A38" s="132">
        <v>25.0</v>
      </c>
      <c r="B38" s="132" t="str">
        <f>IF(LEN(C38)&gt;0,VLOOKUP($F$6,DATA!$A:$S,2,FALSE),"")</f>
        <v/>
      </c>
      <c r="C38" s="134" t="str">
        <f t="shared" si="2"/>
        <v/>
      </c>
      <c r="D38" s="172"/>
      <c r="E38" s="136"/>
      <c r="F38" s="174"/>
      <c r="G38" s="174"/>
      <c r="H38" s="168"/>
      <c r="I38" s="144" t="str">
        <f t="shared" ref="I38:AM38" si="38">IF(AND(LEN($E38)&gt;0,I$12&lt;&gt;"sá.",I$12&lt;&gt;"do.",I$12&lt;&gt;""),"TR","")</f>
        <v/>
      </c>
      <c r="J38" s="144" t="str">
        <f t="shared" si="38"/>
        <v/>
      </c>
      <c r="K38" s="144" t="str">
        <f t="shared" si="38"/>
        <v/>
      </c>
      <c r="L38" s="144" t="str">
        <f t="shared" si="38"/>
        <v/>
      </c>
      <c r="M38" s="144" t="str">
        <f t="shared" si="38"/>
        <v/>
      </c>
      <c r="N38" s="144" t="str">
        <f t="shared" si="38"/>
        <v/>
      </c>
      <c r="O38" s="144" t="str">
        <f t="shared" si="38"/>
        <v/>
      </c>
      <c r="P38" s="144" t="str">
        <f t="shared" si="38"/>
        <v/>
      </c>
      <c r="Q38" s="144" t="str">
        <f t="shared" si="38"/>
        <v/>
      </c>
      <c r="R38" s="144" t="str">
        <f t="shared" si="38"/>
        <v/>
      </c>
      <c r="S38" s="144" t="str">
        <f t="shared" si="38"/>
        <v/>
      </c>
      <c r="T38" s="144" t="str">
        <f t="shared" si="38"/>
        <v/>
      </c>
      <c r="U38" s="144" t="str">
        <f t="shared" si="38"/>
        <v/>
      </c>
      <c r="V38" s="144" t="str">
        <f t="shared" si="38"/>
        <v/>
      </c>
      <c r="W38" s="144" t="str">
        <f t="shared" si="38"/>
        <v/>
      </c>
      <c r="X38" s="144" t="str">
        <f t="shared" si="38"/>
        <v/>
      </c>
      <c r="Y38" s="144" t="str">
        <f t="shared" si="38"/>
        <v/>
      </c>
      <c r="Z38" s="144" t="str">
        <f t="shared" si="38"/>
        <v/>
      </c>
      <c r="AA38" s="144" t="str">
        <f t="shared" si="38"/>
        <v/>
      </c>
      <c r="AB38" s="144" t="str">
        <f t="shared" si="38"/>
        <v/>
      </c>
      <c r="AC38" s="144" t="str">
        <f t="shared" si="38"/>
        <v/>
      </c>
      <c r="AD38" s="144" t="str">
        <f t="shared" si="38"/>
        <v/>
      </c>
      <c r="AE38" s="144" t="str">
        <f t="shared" si="38"/>
        <v/>
      </c>
      <c r="AF38" s="144" t="str">
        <f t="shared" si="38"/>
        <v/>
      </c>
      <c r="AG38" s="144" t="str">
        <f t="shared" si="38"/>
        <v/>
      </c>
      <c r="AH38" s="144" t="str">
        <f t="shared" si="38"/>
        <v/>
      </c>
      <c r="AI38" s="144" t="str">
        <f t="shared" si="38"/>
        <v/>
      </c>
      <c r="AJ38" s="144" t="str">
        <f t="shared" si="38"/>
        <v/>
      </c>
      <c r="AK38" s="144" t="str">
        <f t="shared" si="38"/>
        <v/>
      </c>
      <c r="AL38" s="144" t="str">
        <f t="shared" si="38"/>
        <v/>
      </c>
      <c r="AM38" s="144" t="str">
        <f t="shared" si="38"/>
        <v/>
      </c>
      <c r="AN38" s="136" t="str">
        <f t="shared" si="15"/>
        <v/>
      </c>
      <c r="AO38" s="156"/>
      <c r="AP38" s="170"/>
      <c r="AQ38" s="171">
        <f t="shared" si="16"/>
        <v>0</v>
      </c>
      <c r="AR38" s="171">
        <f t="shared" si="17"/>
        <v>0</v>
      </c>
      <c r="AS38" s="171">
        <f t="shared" si="18"/>
        <v>0</v>
      </c>
      <c r="AT38" s="171">
        <f t="shared" si="6"/>
        <v>0</v>
      </c>
      <c r="AU38" s="171">
        <f t="shared" si="7"/>
        <v>0</v>
      </c>
      <c r="AV38" s="171">
        <f t="shared" si="8"/>
        <v>0</v>
      </c>
      <c r="AW38" s="171">
        <f t="shared" si="9"/>
        <v>0</v>
      </c>
      <c r="AX38" s="157"/>
      <c r="AY38" s="157"/>
      <c r="AZ38" s="157"/>
      <c r="BA38" s="157"/>
      <c r="BB38" s="157"/>
      <c r="BC38" s="157">
        <f t="shared" si="10"/>
        <v>0</v>
      </c>
      <c r="BD38" s="157">
        <f t="shared" si="11"/>
        <v>0</v>
      </c>
      <c r="BE38" s="157"/>
      <c r="BF38" s="157"/>
      <c r="BG38" s="157"/>
    </row>
    <row r="39" ht="14.25" customHeight="1">
      <c r="A39" s="132">
        <v>26.0</v>
      </c>
      <c r="B39" s="132" t="str">
        <f>IF(LEN(C39)&gt;0,VLOOKUP($F$6,DATA!$A:$S,2,FALSE),"")</f>
        <v/>
      </c>
      <c r="C39" s="134" t="str">
        <f t="shared" si="2"/>
        <v/>
      </c>
      <c r="D39" s="172"/>
      <c r="E39" s="136"/>
      <c r="F39" s="174"/>
      <c r="G39" s="174"/>
      <c r="H39" s="168"/>
      <c r="I39" s="144" t="str">
        <f t="shared" ref="I39:AM39" si="39">IF(AND(LEN($E39)&gt;0,I$12&lt;&gt;"sá.",I$12&lt;&gt;"do.",I$12&lt;&gt;""),"TR","")</f>
        <v/>
      </c>
      <c r="J39" s="144" t="str">
        <f t="shared" si="39"/>
        <v/>
      </c>
      <c r="K39" s="144" t="str">
        <f t="shared" si="39"/>
        <v/>
      </c>
      <c r="L39" s="144" t="str">
        <f t="shared" si="39"/>
        <v/>
      </c>
      <c r="M39" s="144" t="str">
        <f t="shared" si="39"/>
        <v/>
      </c>
      <c r="N39" s="144" t="str">
        <f t="shared" si="39"/>
        <v/>
      </c>
      <c r="O39" s="144" t="str">
        <f t="shared" si="39"/>
        <v/>
      </c>
      <c r="P39" s="144" t="str">
        <f t="shared" si="39"/>
        <v/>
      </c>
      <c r="Q39" s="144" t="str">
        <f t="shared" si="39"/>
        <v/>
      </c>
      <c r="R39" s="144" t="str">
        <f t="shared" si="39"/>
        <v/>
      </c>
      <c r="S39" s="144" t="str">
        <f t="shared" si="39"/>
        <v/>
      </c>
      <c r="T39" s="144" t="str">
        <f t="shared" si="39"/>
        <v/>
      </c>
      <c r="U39" s="144" t="str">
        <f t="shared" si="39"/>
        <v/>
      </c>
      <c r="V39" s="144" t="str">
        <f t="shared" si="39"/>
        <v/>
      </c>
      <c r="W39" s="144" t="str">
        <f t="shared" si="39"/>
        <v/>
      </c>
      <c r="X39" s="144" t="str">
        <f t="shared" si="39"/>
        <v/>
      </c>
      <c r="Y39" s="144" t="str">
        <f t="shared" si="39"/>
        <v/>
      </c>
      <c r="Z39" s="144" t="str">
        <f t="shared" si="39"/>
        <v/>
      </c>
      <c r="AA39" s="144" t="str">
        <f t="shared" si="39"/>
        <v/>
      </c>
      <c r="AB39" s="144" t="str">
        <f t="shared" si="39"/>
        <v/>
      </c>
      <c r="AC39" s="144" t="str">
        <f t="shared" si="39"/>
        <v/>
      </c>
      <c r="AD39" s="144" t="str">
        <f t="shared" si="39"/>
        <v/>
      </c>
      <c r="AE39" s="144" t="str">
        <f t="shared" si="39"/>
        <v/>
      </c>
      <c r="AF39" s="144" t="str">
        <f t="shared" si="39"/>
        <v/>
      </c>
      <c r="AG39" s="144" t="str">
        <f t="shared" si="39"/>
        <v/>
      </c>
      <c r="AH39" s="144" t="str">
        <f t="shared" si="39"/>
        <v/>
      </c>
      <c r="AI39" s="144" t="str">
        <f t="shared" si="39"/>
        <v/>
      </c>
      <c r="AJ39" s="144" t="str">
        <f t="shared" si="39"/>
        <v/>
      </c>
      <c r="AK39" s="144" t="str">
        <f t="shared" si="39"/>
        <v/>
      </c>
      <c r="AL39" s="144" t="str">
        <f t="shared" si="39"/>
        <v/>
      </c>
      <c r="AM39" s="144" t="str">
        <f t="shared" si="39"/>
        <v/>
      </c>
      <c r="AN39" s="136" t="str">
        <f t="shared" si="15"/>
        <v/>
      </c>
      <c r="AO39" s="156"/>
      <c r="AP39" s="170"/>
      <c r="AQ39" s="171">
        <f t="shared" si="16"/>
        <v>0</v>
      </c>
      <c r="AR39" s="171">
        <f t="shared" si="17"/>
        <v>0</v>
      </c>
      <c r="AS39" s="171">
        <f t="shared" si="18"/>
        <v>0</v>
      </c>
      <c r="AT39" s="171">
        <f t="shared" si="6"/>
        <v>0</v>
      </c>
      <c r="AU39" s="171">
        <f t="shared" si="7"/>
        <v>0</v>
      </c>
      <c r="AV39" s="171">
        <f t="shared" si="8"/>
        <v>0</v>
      </c>
      <c r="AW39" s="171">
        <f t="shared" si="9"/>
        <v>0</v>
      </c>
      <c r="AX39" s="157"/>
      <c r="AY39" s="157"/>
      <c r="AZ39" s="157"/>
      <c r="BA39" s="157"/>
      <c r="BB39" s="157"/>
      <c r="BC39" s="157">
        <f t="shared" si="10"/>
        <v>0</v>
      </c>
      <c r="BD39" s="157">
        <f t="shared" si="11"/>
        <v>0</v>
      </c>
      <c r="BE39" s="157"/>
      <c r="BF39" s="157"/>
      <c r="BG39" s="157"/>
    </row>
    <row r="40" ht="14.25" customHeight="1">
      <c r="A40" s="132">
        <v>27.0</v>
      </c>
      <c r="B40" s="132" t="str">
        <f>IF(LEN(C40)&gt;0,VLOOKUP($F$6,DATA!$A:$S,2,FALSE),"")</f>
        <v/>
      </c>
      <c r="C40" s="134" t="str">
        <f t="shared" si="2"/>
        <v/>
      </c>
      <c r="D40" s="172"/>
      <c r="E40" s="136"/>
      <c r="F40" s="174"/>
      <c r="G40" s="174"/>
      <c r="H40" s="168"/>
      <c r="I40" s="144" t="str">
        <f t="shared" ref="I40:AM40" si="40">IF(AND(LEN($E40)&gt;0,I$12&lt;&gt;"sá.",I$12&lt;&gt;"do.",I$12&lt;&gt;""),"TR","")</f>
        <v/>
      </c>
      <c r="J40" s="144" t="str">
        <f t="shared" si="40"/>
        <v/>
      </c>
      <c r="K40" s="144" t="str">
        <f t="shared" si="40"/>
        <v/>
      </c>
      <c r="L40" s="144" t="str">
        <f t="shared" si="40"/>
        <v/>
      </c>
      <c r="M40" s="144" t="str">
        <f t="shared" si="40"/>
        <v/>
      </c>
      <c r="N40" s="144" t="str">
        <f t="shared" si="40"/>
        <v/>
      </c>
      <c r="O40" s="144" t="str">
        <f t="shared" si="40"/>
        <v/>
      </c>
      <c r="P40" s="144" t="str">
        <f t="shared" si="40"/>
        <v/>
      </c>
      <c r="Q40" s="144" t="str">
        <f t="shared" si="40"/>
        <v/>
      </c>
      <c r="R40" s="144" t="str">
        <f t="shared" si="40"/>
        <v/>
      </c>
      <c r="S40" s="144" t="str">
        <f t="shared" si="40"/>
        <v/>
      </c>
      <c r="T40" s="144" t="str">
        <f t="shared" si="40"/>
        <v/>
      </c>
      <c r="U40" s="144" t="str">
        <f t="shared" si="40"/>
        <v/>
      </c>
      <c r="V40" s="144" t="str">
        <f t="shared" si="40"/>
        <v/>
      </c>
      <c r="W40" s="144" t="str">
        <f t="shared" si="40"/>
        <v/>
      </c>
      <c r="X40" s="144" t="str">
        <f t="shared" si="40"/>
        <v/>
      </c>
      <c r="Y40" s="144" t="str">
        <f t="shared" si="40"/>
        <v/>
      </c>
      <c r="Z40" s="144" t="str">
        <f t="shared" si="40"/>
        <v/>
      </c>
      <c r="AA40" s="144" t="str">
        <f t="shared" si="40"/>
        <v/>
      </c>
      <c r="AB40" s="144" t="str">
        <f t="shared" si="40"/>
        <v/>
      </c>
      <c r="AC40" s="144" t="str">
        <f t="shared" si="40"/>
        <v/>
      </c>
      <c r="AD40" s="144" t="str">
        <f t="shared" si="40"/>
        <v/>
      </c>
      <c r="AE40" s="144" t="str">
        <f t="shared" si="40"/>
        <v/>
      </c>
      <c r="AF40" s="144" t="str">
        <f t="shared" si="40"/>
        <v/>
      </c>
      <c r="AG40" s="144" t="str">
        <f t="shared" si="40"/>
        <v/>
      </c>
      <c r="AH40" s="144" t="str">
        <f t="shared" si="40"/>
        <v/>
      </c>
      <c r="AI40" s="144" t="str">
        <f t="shared" si="40"/>
        <v/>
      </c>
      <c r="AJ40" s="144" t="str">
        <f t="shared" si="40"/>
        <v/>
      </c>
      <c r="AK40" s="144" t="str">
        <f t="shared" si="40"/>
        <v/>
      </c>
      <c r="AL40" s="144" t="str">
        <f t="shared" si="40"/>
        <v/>
      </c>
      <c r="AM40" s="144" t="str">
        <f t="shared" si="40"/>
        <v/>
      </c>
      <c r="AN40" s="136" t="str">
        <f t="shared" si="15"/>
        <v/>
      </c>
      <c r="AO40" s="156"/>
      <c r="AP40" s="170"/>
      <c r="AQ40" s="171">
        <f t="shared" si="16"/>
        <v>0</v>
      </c>
      <c r="AR40" s="171">
        <f t="shared" si="17"/>
        <v>0</v>
      </c>
      <c r="AS40" s="171">
        <f t="shared" si="18"/>
        <v>0</v>
      </c>
      <c r="AT40" s="171">
        <f t="shared" si="6"/>
        <v>0</v>
      </c>
      <c r="AU40" s="171">
        <f t="shared" si="7"/>
        <v>0</v>
      </c>
      <c r="AV40" s="171">
        <f t="shared" si="8"/>
        <v>0</v>
      </c>
      <c r="AW40" s="171">
        <f t="shared" si="9"/>
        <v>0</v>
      </c>
      <c r="AX40" s="157"/>
      <c r="AY40" s="157"/>
      <c r="AZ40" s="157"/>
      <c r="BA40" s="157"/>
      <c r="BB40" s="157"/>
      <c r="BC40" s="157">
        <f t="shared" si="10"/>
        <v>0</v>
      </c>
      <c r="BD40" s="157">
        <f t="shared" si="11"/>
        <v>0</v>
      </c>
      <c r="BE40" s="157"/>
      <c r="BF40" s="157"/>
      <c r="BG40" s="157"/>
    </row>
    <row r="41" ht="14.25" customHeight="1">
      <c r="A41" s="132">
        <v>28.0</v>
      </c>
      <c r="B41" s="132" t="str">
        <f>IF(LEN(C41)&gt;0,VLOOKUP($F$6,DATA!$A:$S,2,FALSE),"")</f>
        <v/>
      </c>
      <c r="C41" s="134" t="str">
        <f t="shared" si="2"/>
        <v/>
      </c>
      <c r="D41" s="172"/>
      <c r="E41" s="136"/>
      <c r="F41" s="174"/>
      <c r="G41" s="174"/>
      <c r="H41" s="168"/>
      <c r="I41" s="144" t="str">
        <f t="shared" ref="I41:AM41" si="41">IF(AND(LEN($E41)&gt;0,I$12&lt;&gt;"sá.",I$12&lt;&gt;"do.",I$12&lt;&gt;""),"TR","")</f>
        <v/>
      </c>
      <c r="J41" s="144" t="str">
        <f t="shared" si="41"/>
        <v/>
      </c>
      <c r="K41" s="144" t="str">
        <f t="shared" si="41"/>
        <v/>
      </c>
      <c r="L41" s="144" t="str">
        <f t="shared" si="41"/>
        <v/>
      </c>
      <c r="M41" s="144" t="str">
        <f t="shared" si="41"/>
        <v/>
      </c>
      <c r="N41" s="144" t="str">
        <f t="shared" si="41"/>
        <v/>
      </c>
      <c r="O41" s="144" t="str">
        <f t="shared" si="41"/>
        <v/>
      </c>
      <c r="P41" s="144" t="str">
        <f t="shared" si="41"/>
        <v/>
      </c>
      <c r="Q41" s="144" t="str">
        <f t="shared" si="41"/>
        <v/>
      </c>
      <c r="R41" s="144" t="str">
        <f t="shared" si="41"/>
        <v/>
      </c>
      <c r="S41" s="144" t="str">
        <f t="shared" si="41"/>
        <v/>
      </c>
      <c r="T41" s="144" t="str">
        <f t="shared" si="41"/>
        <v/>
      </c>
      <c r="U41" s="144" t="str">
        <f t="shared" si="41"/>
        <v/>
      </c>
      <c r="V41" s="144" t="str">
        <f t="shared" si="41"/>
        <v/>
      </c>
      <c r="W41" s="144" t="str">
        <f t="shared" si="41"/>
        <v/>
      </c>
      <c r="X41" s="144" t="str">
        <f t="shared" si="41"/>
        <v/>
      </c>
      <c r="Y41" s="144" t="str">
        <f t="shared" si="41"/>
        <v/>
      </c>
      <c r="Z41" s="144" t="str">
        <f t="shared" si="41"/>
        <v/>
      </c>
      <c r="AA41" s="144" t="str">
        <f t="shared" si="41"/>
        <v/>
      </c>
      <c r="AB41" s="144" t="str">
        <f t="shared" si="41"/>
        <v/>
      </c>
      <c r="AC41" s="144" t="str">
        <f t="shared" si="41"/>
        <v/>
      </c>
      <c r="AD41" s="144" t="str">
        <f t="shared" si="41"/>
        <v/>
      </c>
      <c r="AE41" s="144" t="str">
        <f t="shared" si="41"/>
        <v/>
      </c>
      <c r="AF41" s="144" t="str">
        <f t="shared" si="41"/>
        <v/>
      </c>
      <c r="AG41" s="144" t="str">
        <f t="shared" si="41"/>
        <v/>
      </c>
      <c r="AH41" s="144" t="str">
        <f t="shared" si="41"/>
        <v/>
      </c>
      <c r="AI41" s="144" t="str">
        <f t="shared" si="41"/>
        <v/>
      </c>
      <c r="AJ41" s="144" t="str">
        <f t="shared" si="41"/>
        <v/>
      </c>
      <c r="AK41" s="144" t="str">
        <f t="shared" si="41"/>
        <v/>
      </c>
      <c r="AL41" s="144" t="str">
        <f t="shared" si="41"/>
        <v/>
      </c>
      <c r="AM41" s="144" t="str">
        <f t="shared" si="41"/>
        <v/>
      </c>
      <c r="AN41" s="136" t="str">
        <f t="shared" si="15"/>
        <v/>
      </c>
      <c r="AO41" s="156"/>
      <c r="AP41" s="170"/>
      <c r="AQ41" s="171">
        <f t="shared" si="16"/>
        <v>0</v>
      </c>
      <c r="AR41" s="171">
        <f t="shared" si="17"/>
        <v>0</v>
      </c>
      <c r="AS41" s="171">
        <f t="shared" si="18"/>
        <v>0</v>
      </c>
      <c r="AT41" s="171">
        <f t="shared" si="6"/>
        <v>0</v>
      </c>
      <c r="AU41" s="171">
        <f t="shared" si="7"/>
        <v>0</v>
      </c>
      <c r="AV41" s="171">
        <f t="shared" si="8"/>
        <v>0</v>
      </c>
      <c r="AW41" s="171">
        <f t="shared" si="9"/>
        <v>0</v>
      </c>
      <c r="AX41" s="157"/>
      <c r="AY41" s="157"/>
      <c r="AZ41" s="157"/>
      <c r="BA41" s="157"/>
      <c r="BB41" s="157"/>
      <c r="BC41" s="157">
        <f t="shared" si="10"/>
        <v>0</v>
      </c>
      <c r="BD41" s="157">
        <f t="shared" si="11"/>
        <v>0</v>
      </c>
      <c r="BE41" s="157"/>
      <c r="BF41" s="157"/>
      <c r="BG41" s="157"/>
    </row>
    <row r="42" ht="14.25" customHeight="1">
      <c r="A42" s="132">
        <v>29.0</v>
      </c>
      <c r="B42" s="132" t="str">
        <f>IF(LEN(C42)&gt;0,VLOOKUP($F$6,DATA!$A:$S,2,FALSE),"")</f>
        <v/>
      </c>
      <c r="C42" s="134" t="str">
        <f t="shared" si="2"/>
        <v/>
      </c>
      <c r="D42" s="172"/>
      <c r="E42" s="136"/>
      <c r="F42" s="174"/>
      <c r="G42" s="174"/>
      <c r="H42" s="168"/>
      <c r="I42" s="144" t="str">
        <f t="shared" ref="I42:AM42" si="42">IF(AND(LEN($E42)&gt;0,I$12&lt;&gt;"sá.",I$12&lt;&gt;"do.",I$12&lt;&gt;""),"TR","")</f>
        <v/>
      </c>
      <c r="J42" s="144" t="str">
        <f t="shared" si="42"/>
        <v/>
      </c>
      <c r="K42" s="144" t="str">
        <f t="shared" si="42"/>
        <v/>
      </c>
      <c r="L42" s="144" t="str">
        <f t="shared" si="42"/>
        <v/>
      </c>
      <c r="M42" s="144" t="str">
        <f t="shared" si="42"/>
        <v/>
      </c>
      <c r="N42" s="144" t="str">
        <f t="shared" si="42"/>
        <v/>
      </c>
      <c r="O42" s="144" t="str">
        <f t="shared" si="42"/>
        <v/>
      </c>
      <c r="P42" s="144" t="str">
        <f t="shared" si="42"/>
        <v/>
      </c>
      <c r="Q42" s="144" t="str">
        <f t="shared" si="42"/>
        <v/>
      </c>
      <c r="R42" s="144" t="str">
        <f t="shared" si="42"/>
        <v/>
      </c>
      <c r="S42" s="144" t="str">
        <f t="shared" si="42"/>
        <v/>
      </c>
      <c r="T42" s="144" t="str">
        <f t="shared" si="42"/>
        <v/>
      </c>
      <c r="U42" s="144" t="str">
        <f t="shared" si="42"/>
        <v/>
      </c>
      <c r="V42" s="144" t="str">
        <f t="shared" si="42"/>
        <v/>
      </c>
      <c r="W42" s="144" t="str">
        <f t="shared" si="42"/>
        <v/>
      </c>
      <c r="X42" s="144" t="str">
        <f t="shared" si="42"/>
        <v/>
      </c>
      <c r="Y42" s="144" t="str">
        <f t="shared" si="42"/>
        <v/>
      </c>
      <c r="Z42" s="144" t="str">
        <f t="shared" si="42"/>
        <v/>
      </c>
      <c r="AA42" s="144" t="str">
        <f t="shared" si="42"/>
        <v/>
      </c>
      <c r="AB42" s="144" t="str">
        <f t="shared" si="42"/>
        <v/>
      </c>
      <c r="AC42" s="144" t="str">
        <f t="shared" si="42"/>
        <v/>
      </c>
      <c r="AD42" s="144" t="str">
        <f t="shared" si="42"/>
        <v/>
      </c>
      <c r="AE42" s="144" t="str">
        <f t="shared" si="42"/>
        <v/>
      </c>
      <c r="AF42" s="144" t="str">
        <f t="shared" si="42"/>
        <v/>
      </c>
      <c r="AG42" s="144" t="str">
        <f t="shared" si="42"/>
        <v/>
      </c>
      <c r="AH42" s="144" t="str">
        <f t="shared" si="42"/>
        <v/>
      </c>
      <c r="AI42" s="144" t="str">
        <f t="shared" si="42"/>
        <v/>
      </c>
      <c r="AJ42" s="144" t="str">
        <f t="shared" si="42"/>
        <v/>
      </c>
      <c r="AK42" s="144" t="str">
        <f t="shared" si="42"/>
        <v/>
      </c>
      <c r="AL42" s="144" t="str">
        <f t="shared" si="42"/>
        <v/>
      </c>
      <c r="AM42" s="144" t="str">
        <f t="shared" si="42"/>
        <v/>
      </c>
      <c r="AN42" s="136"/>
      <c r="AO42" s="156"/>
      <c r="AP42" s="170"/>
      <c r="AQ42" s="171">
        <f t="shared" si="16"/>
        <v>0</v>
      </c>
      <c r="AR42" s="171">
        <f t="shared" si="17"/>
        <v>0</v>
      </c>
      <c r="AS42" s="171">
        <f t="shared" si="18"/>
        <v>0</v>
      </c>
      <c r="AT42" s="171">
        <f t="shared" si="6"/>
        <v>0</v>
      </c>
      <c r="AU42" s="171">
        <f t="shared" si="7"/>
        <v>0</v>
      </c>
      <c r="AV42" s="171">
        <f t="shared" si="8"/>
        <v>0</v>
      </c>
      <c r="AW42" s="171">
        <f t="shared" si="9"/>
        <v>0</v>
      </c>
      <c r="AX42" s="157"/>
      <c r="AY42" s="157"/>
      <c r="AZ42" s="157"/>
      <c r="BA42" s="157"/>
      <c r="BB42" s="157"/>
      <c r="BC42" s="157">
        <f t="shared" si="10"/>
        <v>0</v>
      </c>
      <c r="BD42" s="157">
        <f t="shared" si="11"/>
        <v>0</v>
      </c>
      <c r="BE42" s="157"/>
      <c r="BF42" s="157"/>
      <c r="BG42" s="157"/>
    </row>
    <row r="43" ht="14.25" customHeight="1">
      <c r="A43" s="132">
        <v>30.0</v>
      </c>
      <c r="B43" s="132" t="str">
        <f>IF(LEN(C43)&gt;0,VLOOKUP($F$6,DATA!$A:$S,2,FALSE),"")</f>
        <v/>
      </c>
      <c r="C43" s="134" t="str">
        <f t="shared" si="2"/>
        <v/>
      </c>
      <c r="D43" s="172"/>
      <c r="E43" s="136"/>
      <c r="F43" s="174"/>
      <c r="G43" s="174"/>
      <c r="H43" s="168"/>
      <c r="I43" s="144" t="str">
        <f t="shared" ref="I43:AM43" si="43">IF(AND(LEN($E43)&gt;0,I$12&lt;&gt;"sá.",I$12&lt;&gt;"do.",I$12&lt;&gt;""),"TR","")</f>
        <v/>
      </c>
      <c r="J43" s="144" t="str">
        <f t="shared" si="43"/>
        <v/>
      </c>
      <c r="K43" s="144" t="str">
        <f t="shared" si="43"/>
        <v/>
      </c>
      <c r="L43" s="144" t="str">
        <f t="shared" si="43"/>
        <v/>
      </c>
      <c r="M43" s="144" t="str">
        <f t="shared" si="43"/>
        <v/>
      </c>
      <c r="N43" s="144" t="str">
        <f t="shared" si="43"/>
        <v/>
      </c>
      <c r="O43" s="144" t="str">
        <f t="shared" si="43"/>
        <v/>
      </c>
      <c r="P43" s="144" t="str">
        <f t="shared" si="43"/>
        <v/>
      </c>
      <c r="Q43" s="144" t="str">
        <f t="shared" si="43"/>
        <v/>
      </c>
      <c r="R43" s="144" t="str">
        <f t="shared" si="43"/>
        <v/>
      </c>
      <c r="S43" s="144" t="str">
        <f t="shared" si="43"/>
        <v/>
      </c>
      <c r="T43" s="144" t="str">
        <f t="shared" si="43"/>
        <v/>
      </c>
      <c r="U43" s="144" t="str">
        <f t="shared" si="43"/>
        <v/>
      </c>
      <c r="V43" s="144" t="str">
        <f t="shared" si="43"/>
        <v/>
      </c>
      <c r="W43" s="144" t="str">
        <f t="shared" si="43"/>
        <v/>
      </c>
      <c r="X43" s="144" t="str">
        <f t="shared" si="43"/>
        <v/>
      </c>
      <c r="Y43" s="144" t="str">
        <f t="shared" si="43"/>
        <v/>
      </c>
      <c r="Z43" s="144" t="str">
        <f t="shared" si="43"/>
        <v/>
      </c>
      <c r="AA43" s="144" t="str">
        <f t="shared" si="43"/>
        <v/>
      </c>
      <c r="AB43" s="144" t="str">
        <f t="shared" si="43"/>
        <v/>
      </c>
      <c r="AC43" s="144" t="str">
        <f t="shared" si="43"/>
        <v/>
      </c>
      <c r="AD43" s="144" t="str">
        <f t="shared" si="43"/>
        <v/>
      </c>
      <c r="AE43" s="144" t="str">
        <f t="shared" si="43"/>
        <v/>
      </c>
      <c r="AF43" s="144" t="str">
        <f t="shared" si="43"/>
        <v/>
      </c>
      <c r="AG43" s="144" t="str">
        <f t="shared" si="43"/>
        <v/>
      </c>
      <c r="AH43" s="144" t="str">
        <f t="shared" si="43"/>
        <v/>
      </c>
      <c r="AI43" s="144" t="str">
        <f t="shared" si="43"/>
        <v/>
      </c>
      <c r="AJ43" s="144" t="str">
        <f t="shared" si="43"/>
        <v/>
      </c>
      <c r="AK43" s="144" t="str">
        <f t="shared" si="43"/>
        <v/>
      </c>
      <c r="AL43" s="144" t="str">
        <f t="shared" si="43"/>
        <v/>
      </c>
      <c r="AM43" s="144" t="str">
        <f t="shared" si="43"/>
        <v/>
      </c>
      <c r="AN43" s="136"/>
      <c r="AO43" s="156"/>
      <c r="AP43" s="170"/>
      <c r="AQ43" s="171">
        <f t="shared" si="16"/>
        <v>0</v>
      </c>
      <c r="AR43" s="171">
        <f t="shared" si="17"/>
        <v>0</v>
      </c>
      <c r="AS43" s="171">
        <f t="shared" si="18"/>
        <v>0</v>
      </c>
      <c r="AT43" s="171">
        <f t="shared" si="6"/>
        <v>0</v>
      </c>
      <c r="AU43" s="171">
        <f t="shared" si="7"/>
        <v>0</v>
      </c>
      <c r="AV43" s="171">
        <f t="shared" si="8"/>
        <v>0</v>
      </c>
      <c r="AW43" s="171">
        <f t="shared" si="9"/>
        <v>0</v>
      </c>
      <c r="AX43" s="157"/>
      <c r="AY43" s="157"/>
      <c r="AZ43" s="157"/>
      <c r="BA43" s="157"/>
      <c r="BB43" s="157"/>
      <c r="BC43" s="157">
        <f t="shared" si="10"/>
        <v>0</v>
      </c>
      <c r="BD43" s="157">
        <f t="shared" si="11"/>
        <v>0</v>
      </c>
      <c r="BE43" s="157"/>
      <c r="BF43" s="157"/>
      <c r="BG43" s="157"/>
    </row>
    <row r="44" ht="14.25" customHeight="1">
      <c r="A44" s="132">
        <v>31.0</v>
      </c>
      <c r="B44" s="132"/>
      <c r="C44" s="134"/>
      <c r="D44" s="172"/>
      <c r="E44" s="136"/>
      <c r="F44" s="174"/>
      <c r="G44" s="174"/>
      <c r="H44" s="168"/>
      <c r="I44" s="144" t="str">
        <f t="shared" ref="I44:AM44" si="44">IF(AND(LEN($E44)&gt;0,I$12&lt;&gt;"sá.",I$12&lt;&gt;"do.",I$12&lt;&gt;""),"TR","")</f>
        <v/>
      </c>
      <c r="J44" s="144" t="str">
        <f t="shared" si="44"/>
        <v/>
      </c>
      <c r="K44" s="144" t="str">
        <f t="shared" si="44"/>
        <v/>
      </c>
      <c r="L44" s="144" t="str">
        <f t="shared" si="44"/>
        <v/>
      </c>
      <c r="M44" s="144" t="str">
        <f t="shared" si="44"/>
        <v/>
      </c>
      <c r="N44" s="144" t="str">
        <f t="shared" si="44"/>
        <v/>
      </c>
      <c r="O44" s="144" t="str">
        <f t="shared" si="44"/>
        <v/>
      </c>
      <c r="P44" s="144" t="str">
        <f t="shared" si="44"/>
        <v/>
      </c>
      <c r="Q44" s="144" t="str">
        <f t="shared" si="44"/>
        <v/>
      </c>
      <c r="R44" s="144" t="str">
        <f t="shared" si="44"/>
        <v/>
      </c>
      <c r="S44" s="144" t="str">
        <f t="shared" si="44"/>
        <v/>
      </c>
      <c r="T44" s="144" t="str">
        <f t="shared" si="44"/>
        <v/>
      </c>
      <c r="U44" s="144" t="str">
        <f t="shared" si="44"/>
        <v/>
      </c>
      <c r="V44" s="144" t="str">
        <f t="shared" si="44"/>
        <v/>
      </c>
      <c r="W44" s="144" t="str">
        <f t="shared" si="44"/>
        <v/>
      </c>
      <c r="X44" s="144" t="str">
        <f t="shared" si="44"/>
        <v/>
      </c>
      <c r="Y44" s="144" t="str">
        <f t="shared" si="44"/>
        <v/>
      </c>
      <c r="Z44" s="144" t="str">
        <f t="shared" si="44"/>
        <v/>
      </c>
      <c r="AA44" s="144" t="str">
        <f t="shared" si="44"/>
        <v/>
      </c>
      <c r="AB44" s="144" t="str">
        <f t="shared" si="44"/>
        <v/>
      </c>
      <c r="AC44" s="144" t="str">
        <f t="shared" si="44"/>
        <v/>
      </c>
      <c r="AD44" s="144" t="str">
        <f t="shared" si="44"/>
        <v/>
      </c>
      <c r="AE44" s="144" t="str">
        <f t="shared" si="44"/>
        <v/>
      </c>
      <c r="AF44" s="144" t="str">
        <f t="shared" si="44"/>
        <v/>
      </c>
      <c r="AG44" s="144" t="str">
        <f t="shared" si="44"/>
        <v/>
      </c>
      <c r="AH44" s="144" t="str">
        <f t="shared" si="44"/>
        <v/>
      </c>
      <c r="AI44" s="144" t="str">
        <f t="shared" si="44"/>
        <v/>
      </c>
      <c r="AJ44" s="144" t="str">
        <f t="shared" si="44"/>
        <v/>
      </c>
      <c r="AK44" s="144" t="str">
        <f t="shared" si="44"/>
        <v/>
      </c>
      <c r="AL44" s="144" t="str">
        <f t="shared" si="44"/>
        <v/>
      </c>
      <c r="AM44" s="144" t="str">
        <f t="shared" si="44"/>
        <v/>
      </c>
      <c r="AN44" s="136"/>
      <c r="AO44" s="156"/>
      <c r="AP44" s="170"/>
      <c r="AQ44" s="171"/>
      <c r="AR44" s="171"/>
      <c r="AS44" s="171"/>
      <c r="AT44" s="171"/>
      <c r="AU44" s="171"/>
      <c r="AV44" s="171"/>
      <c r="AW44" s="171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</row>
    <row r="45" ht="14.25" customHeight="1">
      <c r="A45" s="132">
        <v>32.0</v>
      </c>
      <c r="B45" s="132" t="str">
        <f>IF(LEN(C45)&gt;0,VLOOKUP($F$6,DATA!$A:$S,2,FALSE),"")</f>
        <v/>
      </c>
      <c r="C45" s="134" t="str">
        <f>IF(LEN(E45)&gt;0,$G$5,"")</f>
        <v/>
      </c>
      <c r="D45" s="172"/>
      <c r="E45" s="136"/>
      <c r="F45" s="174"/>
      <c r="G45" s="174"/>
      <c r="H45" s="168"/>
      <c r="I45" s="144" t="str">
        <f t="shared" ref="I45:AM45" si="45">IF(AND(LEN($E45)&gt;0,I$12&lt;&gt;"sá.",I$12&lt;&gt;"do.",I$12&lt;&gt;""),"TR","")</f>
        <v/>
      </c>
      <c r="J45" s="144" t="str">
        <f t="shared" si="45"/>
        <v/>
      </c>
      <c r="K45" s="144" t="str">
        <f t="shared" si="45"/>
        <v/>
      </c>
      <c r="L45" s="144" t="str">
        <f t="shared" si="45"/>
        <v/>
      </c>
      <c r="M45" s="144" t="str">
        <f t="shared" si="45"/>
        <v/>
      </c>
      <c r="N45" s="144" t="str">
        <f t="shared" si="45"/>
        <v/>
      </c>
      <c r="O45" s="144" t="str">
        <f t="shared" si="45"/>
        <v/>
      </c>
      <c r="P45" s="144" t="str">
        <f t="shared" si="45"/>
        <v/>
      </c>
      <c r="Q45" s="144" t="str">
        <f t="shared" si="45"/>
        <v/>
      </c>
      <c r="R45" s="144" t="str">
        <f t="shared" si="45"/>
        <v/>
      </c>
      <c r="S45" s="144" t="str">
        <f t="shared" si="45"/>
        <v/>
      </c>
      <c r="T45" s="144" t="str">
        <f t="shared" si="45"/>
        <v/>
      </c>
      <c r="U45" s="144" t="str">
        <f t="shared" si="45"/>
        <v/>
      </c>
      <c r="V45" s="144" t="str">
        <f t="shared" si="45"/>
        <v/>
      </c>
      <c r="W45" s="144" t="str">
        <f t="shared" si="45"/>
        <v/>
      </c>
      <c r="X45" s="144" t="str">
        <f t="shared" si="45"/>
        <v/>
      </c>
      <c r="Y45" s="144" t="str">
        <f t="shared" si="45"/>
        <v/>
      </c>
      <c r="Z45" s="144" t="str">
        <f t="shared" si="45"/>
        <v/>
      </c>
      <c r="AA45" s="144" t="str">
        <f t="shared" si="45"/>
        <v/>
      </c>
      <c r="AB45" s="144" t="str">
        <f t="shared" si="45"/>
        <v/>
      </c>
      <c r="AC45" s="144" t="str">
        <f t="shared" si="45"/>
        <v/>
      </c>
      <c r="AD45" s="144" t="str">
        <f t="shared" si="45"/>
        <v/>
      </c>
      <c r="AE45" s="144" t="str">
        <f t="shared" si="45"/>
        <v/>
      </c>
      <c r="AF45" s="144" t="str">
        <f t="shared" si="45"/>
        <v/>
      </c>
      <c r="AG45" s="144" t="str">
        <f t="shared" si="45"/>
        <v/>
      </c>
      <c r="AH45" s="144" t="str">
        <f t="shared" si="45"/>
        <v/>
      </c>
      <c r="AI45" s="144" t="str">
        <f t="shared" si="45"/>
        <v/>
      </c>
      <c r="AJ45" s="144" t="str">
        <f t="shared" si="45"/>
        <v/>
      </c>
      <c r="AK45" s="144" t="str">
        <f t="shared" si="45"/>
        <v/>
      </c>
      <c r="AL45" s="144" t="str">
        <f t="shared" si="45"/>
        <v/>
      </c>
      <c r="AM45" s="144" t="str">
        <f t="shared" si="45"/>
        <v/>
      </c>
      <c r="AN45" s="136"/>
      <c r="AO45" s="156"/>
      <c r="AP45" s="170"/>
      <c r="AQ45" s="171">
        <f>COUNTIF(I45:AM45,$AQ$12)</f>
        <v>0</v>
      </c>
      <c r="AR45" s="171">
        <f>COUNTIF(I45:AM45,$AR$12)</f>
        <v>0</v>
      </c>
      <c r="AS45" s="171">
        <f>COUNTIF(I45:AM45,$AS$12)</f>
        <v>0</v>
      </c>
      <c r="AT45" s="171">
        <f>COUNTIF(I45:AM45,$AT$12)</f>
        <v>0</v>
      </c>
      <c r="AU45" s="171">
        <f>COUNTIF(I45:AM45,$AU$12)</f>
        <v>0</v>
      </c>
      <c r="AV45" s="171">
        <f>COUNTIF(I45:AM45,$AV$12)</f>
        <v>0</v>
      </c>
      <c r="AW45" s="171">
        <f>SUM(I45:AM45)</f>
        <v>0</v>
      </c>
      <c r="AX45" s="157"/>
      <c r="AY45" s="157"/>
      <c r="AZ45" s="157"/>
      <c r="BA45" s="157"/>
      <c r="BB45" s="157"/>
      <c r="BC45" s="157">
        <f>COUNTIF(I45:AM45,"T")</f>
        <v>0</v>
      </c>
      <c r="BD45" s="157">
        <f>INT(BC45/3)</f>
        <v>0</v>
      </c>
      <c r="BE45" s="157"/>
      <c r="BF45" s="157"/>
      <c r="BG45" s="157"/>
    </row>
    <row r="46" ht="14.25" customHeight="1">
      <c r="A46" s="132">
        <v>33.0</v>
      </c>
      <c r="B46" s="132"/>
      <c r="C46" s="134"/>
      <c r="D46" s="172"/>
      <c r="E46" s="136"/>
      <c r="F46" s="174"/>
      <c r="G46" s="174"/>
      <c r="H46" s="168"/>
      <c r="I46" s="144" t="str">
        <f t="shared" ref="I46:AM46" si="46">IF(AND(LEN($E46)&gt;0,I$12&lt;&gt;"sá.",I$12&lt;&gt;"do.",I$12&lt;&gt;""),"TR","")</f>
        <v/>
      </c>
      <c r="J46" s="144" t="str">
        <f t="shared" si="46"/>
        <v/>
      </c>
      <c r="K46" s="144" t="str">
        <f t="shared" si="46"/>
        <v/>
      </c>
      <c r="L46" s="144" t="str">
        <f t="shared" si="46"/>
        <v/>
      </c>
      <c r="M46" s="144" t="str">
        <f t="shared" si="46"/>
        <v/>
      </c>
      <c r="N46" s="144" t="str">
        <f t="shared" si="46"/>
        <v/>
      </c>
      <c r="O46" s="144" t="str">
        <f t="shared" si="46"/>
        <v/>
      </c>
      <c r="P46" s="144" t="str">
        <f t="shared" si="46"/>
        <v/>
      </c>
      <c r="Q46" s="144" t="str">
        <f t="shared" si="46"/>
        <v/>
      </c>
      <c r="R46" s="144" t="str">
        <f t="shared" si="46"/>
        <v/>
      </c>
      <c r="S46" s="144" t="str">
        <f t="shared" si="46"/>
        <v/>
      </c>
      <c r="T46" s="144" t="str">
        <f t="shared" si="46"/>
        <v/>
      </c>
      <c r="U46" s="144" t="str">
        <f t="shared" si="46"/>
        <v/>
      </c>
      <c r="V46" s="144" t="str">
        <f t="shared" si="46"/>
        <v/>
      </c>
      <c r="W46" s="144" t="str">
        <f t="shared" si="46"/>
        <v/>
      </c>
      <c r="X46" s="144" t="str">
        <f t="shared" si="46"/>
        <v/>
      </c>
      <c r="Y46" s="144" t="str">
        <f t="shared" si="46"/>
        <v/>
      </c>
      <c r="Z46" s="144" t="str">
        <f t="shared" si="46"/>
        <v/>
      </c>
      <c r="AA46" s="144" t="str">
        <f t="shared" si="46"/>
        <v/>
      </c>
      <c r="AB46" s="144" t="str">
        <f t="shared" si="46"/>
        <v/>
      </c>
      <c r="AC46" s="144" t="str">
        <f t="shared" si="46"/>
        <v/>
      </c>
      <c r="AD46" s="144" t="str">
        <f t="shared" si="46"/>
        <v/>
      </c>
      <c r="AE46" s="144" t="str">
        <f t="shared" si="46"/>
        <v/>
      </c>
      <c r="AF46" s="144" t="str">
        <f t="shared" si="46"/>
        <v/>
      </c>
      <c r="AG46" s="144" t="str">
        <f t="shared" si="46"/>
        <v/>
      </c>
      <c r="AH46" s="144" t="str">
        <f t="shared" si="46"/>
        <v/>
      </c>
      <c r="AI46" s="144" t="str">
        <f t="shared" si="46"/>
        <v/>
      </c>
      <c r="AJ46" s="144" t="str">
        <f t="shared" si="46"/>
        <v/>
      </c>
      <c r="AK46" s="144" t="str">
        <f t="shared" si="46"/>
        <v/>
      </c>
      <c r="AL46" s="144" t="str">
        <f t="shared" si="46"/>
        <v/>
      </c>
      <c r="AM46" s="144" t="str">
        <f t="shared" si="46"/>
        <v/>
      </c>
      <c r="AN46" s="136"/>
      <c r="AO46" s="156"/>
      <c r="AP46" s="170"/>
      <c r="AQ46" s="171"/>
      <c r="AR46" s="171"/>
      <c r="AS46" s="171"/>
      <c r="AT46" s="171"/>
      <c r="AU46" s="171"/>
      <c r="AV46" s="171"/>
      <c r="AW46" s="171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</row>
    <row r="47" ht="14.25" customHeight="1">
      <c r="A47" s="132">
        <v>34.0</v>
      </c>
      <c r="B47" s="132"/>
      <c r="C47" s="134"/>
      <c r="D47" s="172"/>
      <c r="E47" s="136"/>
      <c r="F47" s="174"/>
      <c r="G47" s="174"/>
      <c r="H47" s="168"/>
      <c r="I47" s="144" t="str">
        <f t="shared" ref="I47:AM47" si="47">IF(AND(LEN($E47)&gt;0,I$12&lt;&gt;"sá.",I$12&lt;&gt;"do.",I$12&lt;&gt;""),"TR","")</f>
        <v/>
      </c>
      <c r="J47" s="144" t="str">
        <f t="shared" si="47"/>
        <v/>
      </c>
      <c r="K47" s="144" t="str">
        <f t="shared" si="47"/>
        <v/>
      </c>
      <c r="L47" s="144" t="str">
        <f t="shared" si="47"/>
        <v/>
      </c>
      <c r="M47" s="144" t="str">
        <f t="shared" si="47"/>
        <v/>
      </c>
      <c r="N47" s="144" t="str">
        <f t="shared" si="47"/>
        <v/>
      </c>
      <c r="O47" s="144" t="str">
        <f t="shared" si="47"/>
        <v/>
      </c>
      <c r="P47" s="144" t="str">
        <f t="shared" si="47"/>
        <v/>
      </c>
      <c r="Q47" s="144" t="str">
        <f t="shared" si="47"/>
        <v/>
      </c>
      <c r="R47" s="144" t="str">
        <f t="shared" si="47"/>
        <v/>
      </c>
      <c r="S47" s="144" t="str">
        <f t="shared" si="47"/>
        <v/>
      </c>
      <c r="T47" s="144" t="str">
        <f t="shared" si="47"/>
        <v/>
      </c>
      <c r="U47" s="144" t="str">
        <f t="shared" si="47"/>
        <v/>
      </c>
      <c r="V47" s="144" t="str">
        <f t="shared" si="47"/>
        <v/>
      </c>
      <c r="W47" s="144" t="str">
        <f t="shared" si="47"/>
        <v/>
      </c>
      <c r="X47" s="144" t="str">
        <f t="shared" si="47"/>
        <v/>
      </c>
      <c r="Y47" s="144" t="str">
        <f t="shared" si="47"/>
        <v/>
      </c>
      <c r="Z47" s="144" t="str">
        <f t="shared" si="47"/>
        <v/>
      </c>
      <c r="AA47" s="144" t="str">
        <f t="shared" si="47"/>
        <v/>
      </c>
      <c r="AB47" s="144" t="str">
        <f t="shared" si="47"/>
        <v/>
      </c>
      <c r="AC47" s="144" t="str">
        <f t="shared" si="47"/>
        <v/>
      </c>
      <c r="AD47" s="144" t="str">
        <f t="shared" si="47"/>
        <v/>
      </c>
      <c r="AE47" s="144" t="str">
        <f t="shared" si="47"/>
        <v/>
      </c>
      <c r="AF47" s="144" t="str">
        <f t="shared" si="47"/>
        <v/>
      </c>
      <c r="AG47" s="144" t="str">
        <f t="shared" si="47"/>
        <v/>
      </c>
      <c r="AH47" s="144" t="str">
        <f t="shared" si="47"/>
        <v/>
      </c>
      <c r="AI47" s="144" t="str">
        <f t="shared" si="47"/>
        <v/>
      </c>
      <c r="AJ47" s="144" t="str">
        <f t="shared" si="47"/>
        <v/>
      </c>
      <c r="AK47" s="144" t="str">
        <f t="shared" si="47"/>
        <v/>
      </c>
      <c r="AL47" s="144" t="str">
        <f t="shared" si="47"/>
        <v/>
      </c>
      <c r="AM47" s="144" t="str">
        <f t="shared" si="47"/>
        <v/>
      </c>
      <c r="AN47" s="136"/>
      <c r="AO47" s="156"/>
      <c r="AP47" s="170"/>
      <c r="AQ47" s="171"/>
      <c r="AR47" s="171"/>
      <c r="AS47" s="171"/>
      <c r="AT47" s="171"/>
      <c r="AU47" s="171"/>
      <c r="AV47" s="171"/>
      <c r="AW47" s="171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</row>
    <row r="48" ht="14.25" customHeight="1">
      <c r="A48" s="132">
        <v>35.0</v>
      </c>
      <c r="B48" s="132" t="str">
        <f>IF(LEN(C48)&gt;0,VLOOKUP($F$6,DATA!$A:$S,2,FALSE),"")</f>
        <v/>
      </c>
      <c r="C48" s="134" t="str">
        <f>IF(LEN(E48)&gt;0,$G$5,"")</f>
        <v/>
      </c>
      <c r="D48" s="172"/>
      <c r="E48" s="136"/>
      <c r="F48" s="174"/>
      <c r="G48" s="174"/>
      <c r="H48" s="168"/>
      <c r="I48" s="144" t="str">
        <f t="shared" ref="I48:AM48" si="48">IF(AND(LEN($E48)&gt;0,I$12&lt;&gt;"sá.",I$12&lt;&gt;"do.",I$12&lt;&gt;""),"TR","")</f>
        <v/>
      </c>
      <c r="J48" s="144" t="str">
        <f t="shared" si="48"/>
        <v/>
      </c>
      <c r="K48" s="144" t="str">
        <f t="shared" si="48"/>
        <v/>
      </c>
      <c r="L48" s="144" t="str">
        <f t="shared" si="48"/>
        <v/>
      </c>
      <c r="M48" s="144" t="str">
        <f t="shared" si="48"/>
        <v/>
      </c>
      <c r="N48" s="144" t="str">
        <f t="shared" si="48"/>
        <v/>
      </c>
      <c r="O48" s="144" t="str">
        <f t="shared" si="48"/>
        <v/>
      </c>
      <c r="P48" s="144" t="str">
        <f t="shared" si="48"/>
        <v/>
      </c>
      <c r="Q48" s="144" t="str">
        <f t="shared" si="48"/>
        <v/>
      </c>
      <c r="R48" s="144" t="str">
        <f t="shared" si="48"/>
        <v/>
      </c>
      <c r="S48" s="144" t="str">
        <f t="shared" si="48"/>
        <v/>
      </c>
      <c r="T48" s="144" t="str">
        <f t="shared" si="48"/>
        <v/>
      </c>
      <c r="U48" s="144" t="str">
        <f t="shared" si="48"/>
        <v/>
      </c>
      <c r="V48" s="144" t="str">
        <f t="shared" si="48"/>
        <v/>
      </c>
      <c r="W48" s="144" t="str">
        <f t="shared" si="48"/>
        <v/>
      </c>
      <c r="X48" s="144" t="str">
        <f t="shared" si="48"/>
        <v/>
      </c>
      <c r="Y48" s="144" t="str">
        <f t="shared" si="48"/>
        <v/>
      </c>
      <c r="Z48" s="144" t="str">
        <f t="shared" si="48"/>
        <v/>
      </c>
      <c r="AA48" s="144" t="str">
        <f t="shared" si="48"/>
        <v/>
      </c>
      <c r="AB48" s="144" t="str">
        <f t="shared" si="48"/>
        <v/>
      </c>
      <c r="AC48" s="144" t="str">
        <f t="shared" si="48"/>
        <v/>
      </c>
      <c r="AD48" s="144" t="str">
        <f t="shared" si="48"/>
        <v/>
      </c>
      <c r="AE48" s="144" t="str">
        <f t="shared" si="48"/>
        <v/>
      </c>
      <c r="AF48" s="144" t="str">
        <f t="shared" si="48"/>
        <v/>
      </c>
      <c r="AG48" s="144" t="str">
        <f t="shared" si="48"/>
        <v/>
      </c>
      <c r="AH48" s="144" t="str">
        <f t="shared" si="48"/>
        <v/>
      </c>
      <c r="AI48" s="144" t="str">
        <f t="shared" si="48"/>
        <v/>
      </c>
      <c r="AJ48" s="144" t="str">
        <f t="shared" si="48"/>
        <v/>
      </c>
      <c r="AK48" s="144" t="str">
        <f t="shared" si="48"/>
        <v/>
      </c>
      <c r="AL48" s="144" t="str">
        <f t="shared" si="48"/>
        <v/>
      </c>
      <c r="AM48" s="144" t="str">
        <f t="shared" si="48"/>
        <v/>
      </c>
      <c r="AN48" s="136"/>
      <c r="AO48" s="156"/>
      <c r="AP48" s="170"/>
      <c r="AQ48" s="171">
        <f>COUNTIF(I48:AM48,$AQ$12)</f>
        <v>0</v>
      </c>
      <c r="AR48" s="171">
        <f>COUNTIF(I48:AM48,$AR$12)</f>
        <v>0</v>
      </c>
      <c r="AS48" s="171">
        <f>COUNTIF(I48:AM48,$AS$12)</f>
        <v>0</v>
      </c>
      <c r="AT48" s="171">
        <f>COUNTIF(I48:AM48,$AT$12)</f>
        <v>0</v>
      </c>
      <c r="AU48" s="171">
        <f>COUNTIF(I48:AM48,$AU$12)</f>
        <v>0</v>
      </c>
      <c r="AV48" s="171">
        <f>COUNTIF(I48:AM48,$AV$12)</f>
        <v>0</v>
      </c>
      <c r="AW48" s="171">
        <f>SUM(I48:AM48)</f>
        <v>0</v>
      </c>
      <c r="AX48" s="157"/>
      <c r="AY48" s="157"/>
      <c r="AZ48" s="157"/>
      <c r="BA48" s="157"/>
      <c r="BB48" s="157"/>
      <c r="BC48" s="157">
        <f t="shared" ref="BC48:BC51" si="49">COUNTIF(I48:AM48,"T")</f>
        <v>0</v>
      </c>
      <c r="BD48" s="157">
        <f t="shared" ref="BD48:BD54" si="50">INT(BC48/3)</f>
        <v>0</v>
      </c>
      <c r="BE48" s="157"/>
      <c r="BF48" s="157"/>
      <c r="BG48" s="157"/>
    </row>
    <row r="49" ht="14.25" customHeight="1">
      <c r="A49" s="186" t="s">
        <v>1114</v>
      </c>
      <c r="B49" s="72" t="str">
        <f>IF(LEN(C49)&gt;0,VLOOKUP($F$6,DATA!$A:$S,2,FALSE),"")</f>
        <v/>
      </c>
      <c r="C49" s="10"/>
      <c r="D49" s="10"/>
      <c r="E49" s="10"/>
      <c r="F49" s="187"/>
      <c r="G49" s="188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89" t="s">
        <v>1115</v>
      </c>
      <c r="Y49" s="190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57">
        <f t="shared" si="49"/>
        <v>0</v>
      </c>
      <c r="BD49" s="157">
        <f t="shared" si="50"/>
        <v>0</v>
      </c>
      <c r="BE49" s="10"/>
      <c r="BF49" s="10"/>
      <c r="BG49" s="10"/>
    </row>
    <row r="50" ht="11.25" customHeight="1">
      <c r="A50" s="191" t="s">
        <v>1116</v>
      </c>
      <c r="B50" s="192"/>
      <c r="C50" s="193" t="s">
        <v>1117</v>
      </c>
      <c r="D50" s="194" t="s">
        <v>1118</v>
      </c>
      <c r="E50" s="44"/>
      <c r="F50" s="44"/>
      <c r="G50" s="45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57"/>
      <c r="AK50" s="157"/>
      <c r="AL50" s="157"/>
      <c r="AM50" s="195"/>
      <c r="AN50" s="157"/>
      <c r="AO50" s="196"/>
      <c r="AP50" s="157"/>
      <c r="AQ50" s="157"/>
      <c r="AR50" s="157"/>
      <c r="AS50" s="10"/>
      <c r="AT50" s="10"/>
      <c r="AU50" s="157"/>
      <c r="AV50" s="157"/>
      <c r="AW50" s="10"/>
      <c r="AX50" s="10"/>
      <c r="AY50" s="10"/>
      <c r="AZ50" s="10"/>
      <c r="BA50" s="10"/>
      <c r="BB50" s="10"/>
      <c r="BC50" s="157">
        <f t="shared" si="49"/>
        <v>0</v>
      </c>
      <c r="BD50" s="157">
        <f t="shared" si="50"/>
        <v>0</v>
      </c>
      <c r="BE50" s="10"/>
      <c r="BF50" s="10"/>
      <c r="BG50" s="10"/>
    </row>
    <row r="51" ht="12.0" customHeight="1">
      <c r="A51" s="191" t="s">
        <v>546</v>
      </c>
      <c r="B51" s="192"/>
      <c r="C51" s="193" t="s">
        <v>1119</v>
      </c>
      <c r="D51" s="194" t="s">
        <v>1120</v>
      </c>
      <c r="E51" s="44"/>
      <c r="F51" s="44"/>
      <c r="G51" s="45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57"/>
      <c r="AK51" s="157"/>
      <c r="AL51" s="157"/>
      <c r="AM51" s="72"/>
      <c r="AO51" s="196" t="s">
        <v>1121</v>
      </c>
      <c r="AP51" s="157"/>
      <c r="AQ51" s="157"/>
      <c r="AR51" s="157"/>
      <c r="AS51" s="10"/>
      <c r="AT51" s="10"/>
      <c r="AU51" s="157"/>
      <c r="AV51" s="157"/>
      <c r="AW51" s="10"/>
      <c r="AX51" s="10"/>
      <c r="AY51" s="10"/>
      <c r="AZ51" s="10"/>
      <c r="BA51" s="10"/>
      <c r="BB51" s="10"/>
      <c r="BC51" s="157">
        <f t="shared" si="49"/>
        <v>0</v>
      </c>
      <c r="BD51" s="157">
        <f t="shared" si="50"/>
        <v>0</v>
      </c>
      <c r="BE51" s="10"/>
      <c r="BF51" s="10"/>
      <c r="BG51" s="10"/>
    </row>
    <row r="52" ht="12.0" customHeight="1">
      <c r="A52" s="191" t="s">
        <v>538</v>
      </c>
      <c r="B52" s="192"/>
      <c r="C52" s="193" t="s">
        <v>1122</v>
      </c>
      <c r="D52" s="194" t="s">
        <v>1123</v>
      </c>
      <c r="E52" s="44"/>
      <c r="F52" s="44"/>
      <c r="G52" s="45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97"/>
      <c r="AA52" s="197"/>
      <c r="AB52" s="197"/>
      <c r="AC52" s="197"/>
      <c r="AD52" s="197"/>
      <c r="AE52" s="197"/>
      <c r="AF52" s="197"/>
      <c r="AG52" s="197"/>
      <c r="AH52" s="10"/>
      <c r="AI52" s="157"/>
      <c r="AJ52" s="157"/>
      <c r="AK52" s="157"/>
      <c r="AL52" s="157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57">
        <f t="shared" ref="BC52:BC53" si="51">COUNTIF(K52:AM52,"T")</f>
        <v>0</v>
      </c>
      <c r="BD52" s="157">
        <f t="shared" si="50"/>
        <v>0</v>
      </c>
      <c r="BE52" s="10"/>
      <c r="BF52" s="10"/>
      <c r="BG52" s="10"/>
    </row>
    <row r="53" ht="12.0" customHeight="1">
      <c r="A53" s="191" t="s">
        <v>1124</v>
      </c>
      <c r="B53" s="192"/>
      <c r="C53" s="198"/>
      <c r="D53" s="194" t="s">
        <v>1125</v>
      </c>
      <c r="E53" s="44"/>
      <c r="F53" s="44"/>
      <c r="G53" s="45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99" t="s">
        <v>1126</v>
      </c>
      <c r="AA53" s="17"/>
      <c r="AB53" s="17"/>
      <c r="AC53" s="17"/>
      <c r="AD53" s="17"/>
      <c r="AE53" s="17"/>
      <c r="AF53" s="17"/>
      <c r="AG53" s="17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57">
        <f t="shared" si="51"/>
        <v>0</v>
      </c>
      <c r="BD53" s="157">
        <f t="shared" si="50"/>
        <v>0</v>
      </c>
      <c r="BE53" s="10"/>
      <c r="BF53" s="10"/>
      <c r="BG53" s="10"/>
    </row>
    <row r="54" ht="12.0" customHeight="1">
      <c r="A54" s="191" t="s">
        <v>545</v>
      </c>
      <c r="B54" s="192"/>
      <c r="C54" s="198"/>
      <c r="D54" s="194" t="s">
        <v>1127</v>
      </c>
      <c r="E54" s="44"/>
      <c r="F54" s="44"/>
      <c r="G54" s="45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3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57">
        <f>COUNTIF(I54:AM54,"T")</f>
        <v>0</v>
      </c>
      <c r="BD54" s="157">
        <f t="shared" si="50"/>
        <v>0</v>
      </c>
      <c r="BE54" s="10"/>
      <c r="BF54" s="10"/>
      <c r="BG54" s="10"/>
    </row>
    <row r="55" ht="12.0" customHeight="1">
      <c r="A55" s="191" t="s">
        <v>543</v>
      </c>
      <c r="B55" s="198"/>
      <c r="C55" s="198"/>
      <c r="D55" s="194" t="s">
        <v>1128</v>
      </c>
      <c r="E55" s="44"/>
      <c r="F55" s="44"/>
      <c r="G55" s="45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3"/>
      <c r="AB55" s="3"/>
      <c r="AC55" s="3"/>
      <c r="AD55" s="3"/>
      <c r="AE55" s="3"/>
      <c r="AF55" s="3"/>
      <c r="AG55" s="3"/>
      <c r="AH55" s="3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57"/>
      <c r="BD55" s="157"/>
      <c r="BE55" s="10"/>
      <c r="BF55" s="10"/>
      <c r="BG55" s="10"/>
    </row>
    <row r="56" ht="12.0" customHeight="1">
      <c r="A56" s="191" t="s">
        <v>1129</v>
      </c>
      <c r="B56" s="198"/>
      <c r="C56" s="198"/>
      <c r="D56" s="194" t="s">
        <v>1130</v>
      </c>
      <c r="E56" s="44"/>
      <c r="F56" s="44"/>
      <c r="G56" s="45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3"/>
      <c r="AB56" s="3"/>
      <c r="AC56" s="3"/>
      <c r="AD56" s="3"/>
      <c r="AE56" s="3"/>
      <c r="AF56" s="3"/>
      <c r="AG56" s="3"/>
      <c r="AH56" s="3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57">
        <f>COUNTIF(I56:AM56,"T")</f>
        <v>0</v>
      </c>
      <c r="BD56" s="157">
        <f>INT(BC56/3)</f>
        <v>0</v>
      </c>
      <c r="BE56" s="10"/>
      <c r="BF56" s="10"/>
      <c r="BG56" s="10"/>
    </row>
    <row r="57" ht="12.0" customHeight="1">
      <c r="A57" s="191" t="s">
        <v>1131</v>
      </c>
      <c r="B57" s="198"/>
      <c r="C57" s="198"/>
      <c r="D57" s="194" t="s">
        <v>1132</v>
      </c>
      <c r="E57" s="44"/>
      <c r="F57" s="44"/>
      <c r="G57" s="45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3"/>
      <c r="AB57" s="3"/>
      <c r="AC57" s="3"/>
      <c r="AD57" s="3"/>
      <c r="AE57" s="3"/>
      <c r="AF57" s="3"/>
      <c r="AG57" s="3"/>
      <c r="AH57" s="3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57"/>
      <c r="BD57" s="157"/>
      <c r="BE57" s="10"/>
      <c r="BF57" s="10"/>
      <c r="BG57" s="10"/>
    </row>
    <row r="58" ht="12.0" customHeight="1">
      <c r="A58" s="202" t="s">
        <v>1122</v>
      </c>
      <c r="B58" s="203"/>
      <c r="C58" s="203"/>
      <c r="D58" s="204" t="s">
        <v>1133</v>
      </c>
      <c r="E58" s="44"/>
      <c r="F58" s="44"/>
      <c r="G58" s="45"/>
      <c r="H58" s="10" t="s">
        <v>1134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57">
        <f>COUNTIF(I58:AM58,"T")</f>
        <v>0</v>
      </c>
      <c r="BD58" s="157">
        <f>INT(BC58/3)</f>
        <v>0</v>
      </c>
      <c r="BE58" s="10"/>
      <c r="BF58" s="10"/>
      <c r="BG58" s="10"/>
    </row>
    <row r="59" ht="12.75" customHeight="1">
      <c r="A59" s="198"/>
      <c r="B59" s="198"/>
      <c r="C59" s="198"/>
      <c r="D59" s="198"/>
      <c r="E59" s="198"/>
      <c r="F59" s="205"/>
      <c r="G59" s="188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</row>
    <row r="60" ht="12.75" customHeight="1">
      <c r="A60" s="10"/>
      <c r="B60" s="10"/>
      <c r="C60" s="10"/>
      <c r="D60" s="10"/>
      <c r="E60" s="10"/>
      <c r="F60" s="187"/>
      <c r="G60" s="188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</row>
    <row r="61" ht="12.75" customHeight="1">
      <c r="A61" s="10"/>
      <c r="B61" s="10"/>
      <c r="C61" s="10"/>
      <c r="D61" s="10"/>
      <c r="E61" s="10"/>
      <c r="F61" s="187"/>
      <c r="G61" s="188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</row>
    <row r="62" ht="12.75" customHeight="1">
      <c r="A62" s="10"/>
      <c r="B62" s="10"/>
      <c r="C62" s="10"/>
      <c r="D62" s="10"/>
      <c r="E62" s="10"/>
      <c r="F62" s="187"/>
      <c r="G62" s="188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</row>
    <row r="63" ht="12.75" customHeight="1">
      <c r="A63" s="10"/>
      <c r="B63" s="10"/>
      <c r="C63" s="10"/>
      <c r="D63" s="10"/>
      <c r="E63" s="10"/>
      <c r="F63" s="187"/>
      <c r="G63" s="188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</row>
    <row r="64" ht="12.75" customHeight="1">
      <c r="A64" s="10"/>
      <c r="B64" s="10"/>
      <c r="C64" s="10"/>
      <c r="D64" s="10"/>
      <c r="E64" s="10"/>
      <c r="F64" s="187"/>
      <c r="G64" s="188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</row>
    <row r="65" ht="12.75" customHeight="1">
      <c r="A65" s="10"/>
      <c r="B65" s="10"/>
      <c r="C65" s="10"/>
      <c r="D65" s="10"/>
      <c r="E65" s="10"/>
      <c r="F65" s="187"/>
      <c r="G65" s="188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</row>
    <row r="66" ht="12.75" customHeight="1">
      <c r="A66" s="10"/>
      <c r="B66" s="10"/>
      <c r="C66" s="10"/>
      <c r="D66" s="10"/>
      <c r="E66" s="10"/>
      <c r="F66" s="187"/>
      <c r="G66" s="188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</row>
    <row r="67" ht="12.75" customHeight="1">
      <c r="A67" s="10"/>
      <c r="B67" s="10"/>
      <c r="C67" s="10"/>
      <c r="D67" s="10"/>
      <c r="E67" s="10"/>
      <c r="F67" s="187"/>
      <c r="G67" s="188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</row>
    <row r="68" ht="12.75" customHeight="1">
      <c r="A68" s="10"/>
      <c r="B68" s="10"/>
      <c r="C68" s="10"/>
      <c r="D68" s="10"/>
      <c r="E68" s="10"/>
      <c r="F68" s="187"/>
      <c r="G68" s="188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</row>
    <row r="69" ht="12.75" customHeight="1">
      <c r="A69" s="10"/>
      <c r="B69" s="10"/>
      <c r="C69" s="10"/>
      <c r="D69" s="10"/>
      <c r="E69" s="10"/>
      <c r="F69" s="187"/>
      <c r="G69" s="188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</row>
    <row r="70" ht="12.75" customHeight="1">
      <c r="A70" s="10"/>
      <c r="B70" s="10"/>
      <c r="C70" s="10"/>
      <c r="D70" s="10"/>
      <c r="E70" s="10"/>
      <c r="F70" s="187"/>
      <c r="G70" s="188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</row>
    <row r="71" ht="12.75" customHeight="1">
      <c r="A71" s="10"/>
      <c r="B71" s="10"/>
      <c r="C71" s="10"/>
      <c r="D71" s="10"/>
      <c r="E71" s="10"/>
      <c r="F71" s="187"/>
      <c r="G71" s="188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</row>
    <row r="72" ht="12.75" customHeight="1">
      <c r="A72" s="10"/>
      <c r="B72" s="10"/>
      <c r="C72" s="10"/>
      <c r="D72" s="10"/>
      <c r="E72" s="10"/>
      <c r="F72" s="187"/>
      <c r="G72" s="188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</row>
    <row r="73" ht="12.75" customHeight="1">
      <c r="A73" s="10"/>
      <c r="B73" s="10"/>
      <c r="C73" s="10"/>
      <c r="D73" s="10"/>
      <c r="E73" s="10"/>
      <c r="F73" s="187"/>
      <c r="G73" s="188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</row>
    <row r="74" ht="12.75" customHeight="1">
      <c r="A74" s="10"/>
      <c r="B74" s="10"/>
      <c r="C74" s="10"/>
      <c r="D74" s="10"/>
      <c r="E74" s="10"/>
      <c r="F74" s="187"/>
      <c r="G74" s="188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</row>
    <row r="75" ht="12.75" customHeight="1">
      <c r="A75" s="10"/>
      <c r="B75" s="10"/>
      <c r="C75" s="10"/>
      <c r="D75" s="10"/>
      <c r="E75" s="10"/>
      <c r="F75" s="187"/>
      <c r="G75" s="188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</row>
    <row r="76" ht="12.75" customHeight="1">
      <c r="A76" s="10"/>
      <c r="B76" s="10"/>
      <c r="C76" s="10"/>
      <c r="D76" s="10"/>
      <c r="E76" s="10"/>
      <c r="F76" s="187"/>
      <c r="G76" s="188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</row>
    <row r="77" ht="12.75" customHeight="1">
      <c r="A77" s="10"/>
      <c r="B77" s="10"/>
      <c r="C77" s="10"/>
      <c r="D77" s="10"/>
      <c r="E77" s="10"/>
      <c r="F77" s="187"/>
      <c r="G77" s="188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</row>
    <row r="78" ht="12.75" customHeight="1">
      <c r="A78" s="10"/>
      <c r="B78" s="10"/>
      <c r="C78" s="10"/>
      <c r="D78" s="10"/>
      <c r="E78" s="10"/>
      <c r="F78" s="187"/>
      <c r="G78" s="188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</row>
    <row r="79" ht="12.75" customHeight="1">
      <c r="A79" s="10"/>
      <c r="B79" s="10"/>
      <c r="C79" s="10"/>
      <c r="D79" s="10"/>
      <c r="E79" s="10"/>
      <c r="F79" s="187"/>
      <c r="G79" s="188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</row>
    <row r="80" ht="12.75" customHeight="1">
      <c r="A80" s="10"/>
      <c r="B80" s="10"/>
      <c r="C80" s="10"/>
      <c r="D80" s="10"/>
      <c r="E80" s="10"/>
      <c r="F80" s="187"/>
      <c r="G80" s="188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</row>
    <row r="81" ht="12.75" customHeight="1">
      <c r="A81" s="10"/>
      <c r="B81" s="10"/>
      <c r="C81" s="10"/>
      <c r="D81" s="10"/>
      <c r="E81" s="10"/>
      <c r="F81" s="187"/>
      <c r="G81" s="188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</row>
    <row r="82" ht="12.75" customHeight="1">
      <c r="A82" s="10"/>
      <c r="B82" s="10"/>
      <c r="C82" s="10"/>
      <c r="D82" s="10"/>
      <c r="E82" s="10"/>
      <c r="F82" s="187"/>
      <c r="G82" s="188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</row>
    <row r="83" ht="12.75" customHeight="1">
      <c r="A83" s="10"/>
      <c r="B83" s="10"/>
      <c r="C83" s="10"/>
      <c r="D83" s="10"/>
      <c r="E83" s="10"/>
      <c r="F83" s="187"/>
      <c r="G83" s="188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</row>
    <row r="84" ht="12.75" customHeight="1">
      <c r="A84" s="10"/>
      <c r="B84" s="10"/>
      <c r="C84" s="10"/>
      <c r="D84" s="10"/>
      <c r="E84" s="10"/>
      <c r="F84" s="187"/>
      <c r="G84" s="188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 ht="12.75" customHeight="1">
      <c r="A85" s="10"/>
      <c r="B85" s="10"/>
      <c r="C85" s="10"/>
      <c r="D85" s="10"/>
      <c r="E85" s="10"/>
      <c r="F85" s="187"/>
      <c r="G85" s="188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</row>
    <row r="86" ht="12.75" customHeight="1">
      <c r="A86" s="10"/>
      <c r="B86" s="10"/>
      <c r="C86" s="10"/>
      <c r="D86" s="10"/>
      <c r="E86" s="10"/>
      <c r="F86" s="187"/>
      <c r="G86" s="188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</row>
    <row r="87" ht="12.75" customHeight="1">
      <c r="A87" s="10"/>
      <c r="B87" s="10"/>
      <c r="C87" s="10"/>
      <c r="D87" s="10"/>
      <c r="E87" s="10"/>
      <c r="F87" s="187"/>
      <c r="G87" s="188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</row>
    <row r="88" ht="12.75" customHeight="1">
      <c r="A88" s="10"/>
      <c r="B88" s="10"/>
      <c r="C88" s="10"/>
      <c r="D88" s="10"/>
      <c r="E88" s="10"/>
      <c r="F88" s="187"/>
      <c r="G88" s="188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 ht="12.75" customHeight="1">
      <c r="A89" s="10"/>
      <c r="B89" s="10"/>
      <c r="C89" s="10"/>
      <c r="D89" s="10"/>
      <c r="E89" s="10"/>
      <c r="F89" s="187"/>
      <c r="G89" s="188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</row>
    <row r="90" ht="12.75" customHeight="1">
      <c r="A90" s="10"/>
      <c r="B90" s="10"/>
      <c r="C90" s="10"/>
      <c r="D90" s="10"/>
      <c r="E90" s="10"/>
      <c r="F90" s="187"/>
      <c r="G90" s="188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</row>
    <row r="91" ht="12.75" customHeight="1">
      <c r="A91" s="10"/>
      <c r="B91" s="10"/>
      <c r="C91" s="10"/>
      <c r="D91" s="10"/>
      <c r="E91" s="10"/>
      <c r="F91" s="187"/>
      <c r="G91" s="18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</row>
    <row r="92" ht="12.75" customHeight="1">
      <c r="A92" s="10"/>
      <c r="B92" s="10"/>
      <c r="C92" s="10"/>
      <c r="D92" s="10"/>
      <c r="E92" s="10"/>
      <c r="F92" s="187"/>
      <c r="G92" s="18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 ht="12.75" customHeight="1">
      <c r="A93" s="10"/>
      <c r="B93" s="10"/>
      <c r="C93" s="10"/>
      <c r="D93" s="10"/>
      <c r="E93" s="10"/>
      <c r="F93" s="187"/>
      <c r="G93" s="188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 ht="12.75" customHeight="1">
      <c r="A94" s="10"/>
      <c r="B94" s="10"/>
      <c r="C94" s="10"/>
      <c r="D94" s="10"/>
      <c r="E94" s="10"/>
      <c r="F94" s="187"/>
      <c r="G94" s="188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</row>
    <row r="95" ht="12.75" customHeight="1">
      <c r="A95" s="10"/>
      <c r="B95" s="10"/>
      <c r="C95" s="10"/>
      <c r="D95" s="10"/>
      <c r="E95" s="10"/>
      <c r="F95" s="187"/>
      <c r="G95" s="188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</row>
    <row r="96" ht="12.75" customHeight="1">
      <c r="A96" s="10"/>
      <c r="B96" s="10"/>
      <c r="C96" s="10"/>
      <c r="D96" s="10"/>
      <c r="E96" s="10"/>
      <c r="F96" s="187"/>
      <c r="G96" s="188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</row>
    <row r="97" ht="12.75" customHeight="1">
      <c r="A97" s="10"/>
      <c r="B97" s="10"/>
      <c r="C97" s="10"/>
      <c r="D97" s="10"/>
      <c r="E97" s="10"/>
      <c r="F97" s="187"/>
      <c r="G97" s="188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 ht="12.75" customHeight="1">
      <c r="A98" s="10"/>
      <c r="B98" s="10"/>
      <c r="C98" s="10"/>
      <c r="D98" s="10"/>
      <c r="E98" s="10"/>
      <c r="F98" s="187"/>
      <c r="G98" s="188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</row>
    <row r="99" ht="12.75" customHeight="1">
      <c r="A99" s="10"/>
      <c r="B99" s="10"/>
      <c r="C99" s="10"/>
      <c r="D99" s="10"/>
      <c r="E99" s="10"/>
      <c r="F99" s="187"/>
      <c r="G99" s="188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 ht="12.75" customHeight="1">
      <c r="A100" s="10"/>
      <c r="B100" s="10"/>
      <c r="C100" s="10"/>
      <c r="D100" s="10"/>
      <c r="E100" s="10"/>
      <c r="F100" s="187"/>
      <c r="G100" s="18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</row>
    <row r="101" ht="12.75" customHeight="1">
      <c r="A101" s="10"/>
      <c r="B101" s="10"/>
      <c r="C101" s="10"/>
      <c r="D101" s="10"/>
      <c r="E101" s="10"/>
      <c r="F101" s="187"/>
      <c r="G101" s="188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 ht="12.75" customHeight="1">
      <c r="A102" s="10"/>
      <c r="B102" s="10"/>
      <c r="C102" s="10"/>
      <c r="D102" s="10"/>
      <c r="E102" s="10"/>
      <c r="F102" s="187"/>
      <c r="G102" s="188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</row>
    <row r="103" ht="12.75" customHeight="1">
      <c r="A103" s="10"/>
      <c r="B103" s="10"/>
      <c r="C103" s="10"/>
      <c r="D103" s="10"/>
      <c r="E103" s="10"/>
      <c r="F103" s="187"/>
      <c r="G103" s="188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 ht="12.75" customHeight="1">
      <c r="A104" s="10"/>
      <c r="B104" s="10"/>
      <c r="C104" s="10"/>
      <c r="D104" s="10"/>
      <c r="E104" s="10"/>
      <c r="F104" s="187"/>
      <c r="G104" s="188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</row>
    <row r="105" ht="12.75" customHeight="1">
      <c r="A105" s="10"/>
      <c r="B105" s="10"/>
      <c r="C105" s="10"/>
      <c r="D105" s="10"/>
      <c r="E105" s="10"/>
      <c r="F105" s="187"/>
      <c r="G105" s="188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 ht="12.75" customHeight="1">
      <c r="A106" s="10"/>
      <c r="B106" s="10"/>
      <c r="C106" s="10"/>
      <c r="D106" s="10"/>
      <c r="E106" s="10"/>
      <c r="F106" s="187"/>
      <c r="G106" s="188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</row>
    <row r="107" ht="12.75" customHeight="1">
      <c r="A107" s="10"/>
      <c r="B107" s="10"/>
      <c r="C107" s="10"/>
      <c r="D107" s="10"/>
      <c r="E107" s="10"/>
      <c r="F107" s="187"/>
      <c r="G107" s="188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</row>
    <row r="108" ht="12.75" customHeight="1">
      <c r="A108" s="10"/>
      <c r="B108" s="10"/>
      <c r="C108" s="10"/>
      <c r="D108" s="10"/>
      <c r="E108" s="10"/>
      <c r="F108" s="187"/>
      <c r="G108" s="188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  <row r="109" ht="12.75" customHeight="1">
      <c r="A109" s="10"/>
      <c r="B109" s="10"/>
      <c r="C109" s="10"/>
      <c r="D109" s="10"/>
      <c r="E109" s="10"/>
      <c r="F109" s="187"/>
      <c r="G109" s="188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</row>
    <row r="110" ht="12.75" customHeight="1">
      <c r="A110" s="10"/>
      <c r="B110" s="10"/>
      <c r="C110" s="10"/>
      <c r="D110" s="10"/>
      <c r="E110" s="10"/>
      <c r="F110" s="187"/>
      <c r="G110" s="188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</row>
    <row r="111" ht="12.75" customHeight="1">
      <c r="A111" s="10"/>
      <c r="B111" s="10"/>
      <c r="C111" s="10"/>
      <c r="D111" s="10"/>
      <c r="E111" s="10"/>
      <c r="F111" s="187"/>
      <c r="G111" s="188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ht="12.75" customHeight="1">
      <c r="A112" s="10"/>
      <c r="B112" s="10"/>
      <c r="C112" s="10"/>
      <c r="D112" s="10"/>
      <c r="E112" s="10"/>
      <c r="F112" s="187"/>
      <c r="G112" s="188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ht="12.75" customHeight="1">
      <c r="A113" s="10"/>
      <c r="B113" s="10"/>
      <c r="C113" s="10"/>
      <c r="D113" s="10"/>
      <c r="E113" s="10"/>
      <c r="F113" s="187"/>
      <c r="G113" s="188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ht="12.75" customHeight="1">
      <c r="A114" s="10"/>
      <c r="B114" s="10"/>
      <c r="C114" s="10"/>
      <c r="D114" s="10"/>
      <c r="E114" s="10"/>
      <c r="F114" s="187"/>
      <c r="G114" s="188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ht="12.75" customHeight="1">
      <c r="A115" s="10"/>
      <c r="B115" s="10"/>
      <c r="C115" s="10"/>
      <c r="D115" s="10"/>
      <c r="E115" s="10"/>
      <c r="F115" s="187"/>
      <c r="G115" s="188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ht="12.75" customHeight="1">
      <c r="A116" s="10"/>
      <c r="B116" s="10"/>
      <c r="C116" s="10"/>
      <c r="D116" s="10"/>
      <c r="E116" s="10"/>
      <c r="F116" s="187"/>
      <c r="G116" s="18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ht="12.75" customHeight="1">
      <c r="A117" s="10"/>
      <c r="B117" s="10"/>
      <c r="C117" s="10"/>
      <c r="D117" s="10"/>
      <c r="E117" s="10"/>
      <c r="F117" s="187"/>
      <c r="G117" s="188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ht="12.75" customHeight="1">
      <c r="A118" s="10"/>
      <c r="B118" s="10"/>
      <c r="C118" s="10"/>
      <c r="D118" s="10"/>
      <c r="E118" s="10"/>
      <c r="F118" s="187"/>
      <c r="G118" s="188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ht="12.75" customHeight="1">
      <c r="A119" s="10"/>
      <c r="B119" s="10"/>
      <c r="C119" s="10"/>
      <c r="D119" s="10"/>
      <c r="E119" s="10"/>
      <c r="F119" s="187"/>
      <c r="G119" s="188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ht="12.75" customHeight="1">
      <c r="A120" s="10"/>
      <c r="B120" s="10"/>
      <c r="C120" s="10"/>
      <c r="D120" s="10"/>
      <c r="E120" s="10"/>
      <c r="F120" s="187"/>
      <c r="G120" s="188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ht="12.75" customHeight="1">
      <c r="A121" s="10"/>
      <c r="B121" s="10"/>
      <c r="C121" s="10"/>
      <c r="D121" s="10"/>
      <c r="E121" s="10"/>
      <c r="F121" s="187"/>
      <c r="G121" s="188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ht="12.75" customHeight="1">
      <c r="A122" s="10"/>
      <c r="B122" s="10"/>
      <c r="C122" s="10"/>
      <c r="D122" s="10"/>
      <c r="E122" s="10"/>
      <c r="F122" s="187"/>
      <c r="G122" s="188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ht="12.75" customHeight="1">
      <c r="A123" s="10"/>
      <c r="B123" s="10"/>
      <c r="C123" s="10"/>
      <c r="D123" s="10"/>
      <c r="E123" s="10"/>
      <c r="F123" s="187"/>
      <c r="G123" s="188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ht="12.75" customHeight="1">
      <c r="A124" s="10"/>
      <c r="B124" s="10"/>
      <c r="C124" s="10"/>
      <c r="D124" s="10"/>
      <c r="E124" s="10"/>
      <c r="F124" s="187"/>
      <c r="G124" s="188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ht="12.75" customHeight="1">
      <c r="A125" s="10"/>
      <c r="B125" s="10"/>
      <c r="C125" s="10"/>
      <c r="D125" s="10"/>
      <c r="E125" s="10"/>
      <c r="F125" s="187"/>
      <c r="G125" s="188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ht="12.75" customHeight="1">
      <c r="A126" s="10"/>
      <c r="B126" s="10"/>
      <c r="C126" s="10"/>
      <c r="D126" s="10"/>
      <c r="E126" s="10"/>
      <c r="F126" s="187"/>
      <c r="G126" s="188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ht="12.75" customHeight="1">
      <c r="A127" s="10"/>
      <c r="B127" s="10"/>
      <c r="C127" s="10"/>
      <c r="D127" s="10"/>
      <c r="E127" s="10"/>
      <c r="F127" s="187"/>
      <c r="G127" s="188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ht="12.75" customHeight="1">
      <c r="A128" s="10"/>
      <c r="B128" s="10"/>
      <c r="C128" s="10"/>
      <c r="D128" s="10"/>
      <c r="E128" s="10"/>
      <c r="F128" s="187"/>
      <c r="G128" s="188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ht="12.75" customHeight="1">
      <c r="A129" s="10"/>
      <c r="B129" s="10"/>
      <c r="C129" s="10"/>
      <c r="D129" s="10"/>
      <c r="E129" s="10"/>
      <c r="F129" s="187"/>
      <c r="G129" s="188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ht="12.75" customHeight="1">
      <c r="A130" s="10"/>
      <c r="B130" s="10"/>
      <c r="C130" s="10"/>
      <c r="D130" s="10"/>
      <c r="E130" s="10"/>
      <c r="F130" s="187"/>
      <c r="G130" s="188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ht="12.75" customHeight="1">
      <c r="A131" s="10"/>
      <c r="B131" s="10"/>
      <c r="C131" s="10"/>
      <c r="D131" s="10"/>
      <c r="E131" s="10"/>
      <c r="F131" s="187"/>
      <c r="G131" s="188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ht="12.75" customHeight="1">
      <c r="A132" s="10"/>
      <c r="B132" s="10"/>
      <c r="C132" s="10"/>
      <c r="D132" s="10"/>
      <c r="E132" s="10"/>
      <c r="F132" s="187"/>
      <c r="G132" s="188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ht="12.75" customHeight="1">
      <c r="A133" s="10"/>
      <c r="B133" s="10"/>
      <c r="C133" s="10"/>
      <c r="D133" s="10"/>
      <c r="E133" s="10"/>
      <c r="F133" s="187"/>
      <c r="G133" s="188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ht="12.75" customHeight="1">
      <c r="A134" s="10"/>
      <c r="B134" s="10"/>
      <c r="C134" s="10"/>
      <c r="D134" s="10"/>
      <c r="E134" s="10"/>
      <c r="F134" s="187"/>
      <c r="G134" s="188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ht="12.75" customHeight="1">
      <c r="A135" s="10"/>
      <c r="B135" s="10"/>
      <c r="C135" s="10"/>
      <c r="D135" s="10"/>
      <c r="E135" s="10"/>
      <c r="F135" s="187"/>
      <c r="G135" s="188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ht="12.75" customHeight="1">
      <c r="A136" s="10"/>
      <c r="B136" s="10"/>
      <c r="C136" s="10"/>
      <c r="D136" s="10"/>
      <c r="E136" s="10"/>
      <c r="F136" s="187"/>
      <c r="G136" s="188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ht="12.75" customHeight="1">
      <c r="A137" s="10"/>
      <c r="B137" s="10"/>
      <c r="C137" s="10"/>
      <c r="D137" s="10"/>
      <c r="E137" s="10"/>
      <c r="F137" s="187"/>
      <c r="G137" s="188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ht="12.75" customHeight="1">
      <c r="A138" s="10"/>
      <c r="B138" s="10"/>
      <c r="C138" s="10"/>
      <c r="D138" s="10"/>
      <c r="E138" s="10"/>
      <c r="F138" s="187"/>
      <c r="G138" s="188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ht="12.75" customHeight="1">
      <c r="A139" s="10"/>
      <c r="B139" s="10"/>
      <c r="C139" s="10"/>
      <c r="D139" s="10"/>
      <c r="E139" s="10"/>
      <c r="F139" s="187"/>
      <c r="G139" s="188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ht="12.75" customHeight="1">
      <c r="A140" s="10"/>
      <c r="B140" s="10"/>
      <c r="C140" s="10"/>
      <c r="D140" s="10"/>
      <c r="E140" s="10"/>
      <c r="F140" s="187"/>
      <c r="G140" s="188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ht="12.75" customHeight="1">
      <c r="A141" s="10"/>
      <c r="B141" s="10"/>
      <c r="C141" s="10"/>
      <c r="D141" s="10"/>
      <c r="E141" s="10"/>
      <c r="F141" s="187"/>
      <c r="G141" s="188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ht="12.75" customHeight="1">
      <c r="A142" s="10"/>
      <c r="B142" s="10"/>
      <c r="C142" s="10"/>
      <c r="D142" s="10"/>
      <c r="E142" s="10"/>
      <c r="F142" s="187"/>
      <c r="G142" s="188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ht="12.75" customHeight="1">
      <c r="A143" s="10"/>
      <c r="B143" s="10"/>
      <c r="C143" s="10"/>
      <c r="D143" s="10"/>
      <c r="E143" s="10"/>
      <c r="F143" s="187"/>
      <c r="G143" s="188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ht="12.75" customHeight="1">
      <c r="A144" s="10"/>
      <c r="B144" s="10"/>
      <c r="C144" s="10"/>
      <c r="D144" s="10"/>
      <c r="E144" s="10"/>
      <c r="F144" s="187"/>
      <c r="G144" s="188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ht="12.75" customHeight="1">
      <c r="A145" s="10"/>
      <c r="B145" s="10"/>
      <c r="C145" s="10"/>
      <c r="D145" s="10"/>
      <c r="E145" s="10"/>
      <c r="F145" s="187"/>
      <c r="G145" s="188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ht="12.75" customHeight="1">
      <c r="A146" s="10"/>
      <c r="B146" s="10"/>
      <c r="C146" s="10"/>
      <c r="D146" s="10"/>
      <c r="E146" s="10"/>
      <c r="F146" s="187"/>
      <c r="G146" s="188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ht="12.75" customHeight="1">
      <c r="A147" s="10"/>
      <c r="B147" s="10"/>
      <c r="C147" s="10"/>
      <c r="D147" s="10"/>
      <c r="E147" s="10"/>
      <c r="F147" s="187"/>
      <c r="G147" s="188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ht="12.75" customHeight="1">
      <c r="A148" s="10"/>
      <c r="B148" s="10"/>
      <c r="C148" s="10"/>
      <c r="D148" s="10"/>
      <c r="E148" s="10"/>
      <c r="F148" s="187"/>
      <c r="G148" s="188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ht="12.75" customHeight="1">
      <c r="A149" s="10"/>
      <c r="B149" s="10"/>
      <c r="C149" s="10"/>
      <c r="D149" s="10"/>
      <c r="E149" s="10"/>
      <c r="F149" s="187"/>
      <c r="G149" s="188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ht="12.75" customHeight="1">
      <c r="A150" s="10"/>
      <c r="B150" s="10"/>
      <c r="C150" s="10"/>
      <c r="D150" s="10"/>
      <c r="E150" s="10"/>
      <c r="F150" s="187"/>
      <c r="G150" s="188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ht="12.75" customHeight="1">
      <c r="A151" s="10"/>
      <c r="B151" s="10"/>
      <c r="C151" s="10"/>
      <c r="D151" s="10"/>
      <c r="E151" s="10"/>
      <c r="F151" s="187"/>
      <c r="G151" s="188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ht="12.75" customHeight="1">
      <c r="A152" s="10"/>
      <c r="B152" s="10"/>
      <c r="C152" s="10"/>
      <c r="D152" s="10"/>
      <c r="E152" s="10"/>
      <c r="F152" s="187"/>
      <c r="G152" s="188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ht="12.75" customHeight="1">
      <c r="A153" s="10"/>
      <c r="B153" s="10"/>
      <c r="C153" s="10"/>
      <c r="D153" s="10"/>
      <c r="E153" s="10"/>
      <c r="F153" s="187"/>
      <c r="G153" s="188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ht="12.75" customHeight="1">
      <c r="A154" s="10"/>
      <c r="B154" s="10"/>
      <c r="C154" s="10"/>
      <c r="D154" s="10"/>
      <c r="E154" s="10"/>
      <c r="F154" s="187"/>
      <c r="G154" s="188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  <row r="155" ht="12.75" customHeight="1">
      <c r="A155" s="10"/>
      <c r="B155" s="10"/>
      <c r="C155" s="10"/>
      <c r="D155" s="10"/>
      <c r="E155" s="10"/>
      <c r="F155" s="187"/>
      <c r="G155" s="188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</row>
    <row r="156" ht="12.75" customHeight="1">
      <c r="A156" s="10"/>
      <c r="B156" s="10"/>
      <c r="C156" s="10"/>
      <c r="D156" s="10"/>
      <c r="E156" s="10"/>
      <c r="F156" s="187"/>
      <c r="G156" s="188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</row>
    <row r="157" ht="12.75" customHeight="1">
      <c r="A157" s="10"/>
      <c r="B157" s="10"/>
      <c r="C157" s="10"/>
      <c r="D157" s="10"/>
      <c r="E157" s="10"/>
      <c r="F157" s="187"/>
      <c r="G157" s="188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</row>
    <row r="158" ht="12.75" customHeight="1">
      <c r="A158" s="10"/>
      <c r="B158" s="10"/>
      <c r="C158" s="10"/>
      <c r="D158" s="10"/>
      <c r="E158" s="10"/>
      <c r="F158" s="187"/>
      <c r="G158" s="188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</row>
    <row r="159" ht="12.75" customHeight="1">
      <c r="A159" s="10"/>
      <c r="B159" s="10"/>
      <c r="C159" s="10"/>
      <c r="D159" s="10"/>
      <c r="E159" s="10"/>
      <c r="F159" s="187"/>
      <c r="G159" s="188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</row>
    <row r="160" ht="12.75" customHeight="1">
      <c r="A160" s="10"/>
      <c r="B160" s="10"/>
      <c r="C160" s="10"/>
      <c r="D160" s="10"/>
      <c r="E160" s="10"/>
      <c r="F160" s="187"/>
      <c r="G160" s="188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</row>
    <row r="161" ht="12.75" customHeight="1">
      <c r="A161" s="10"/>
      <c r="B161" s="10"/>
      <c r="C161" s="10"/>
      <c r="D161" s="10"/>
      <c r="E161" s="10"/>
      <c r="F161" s="187"/>
      <c r="G161" s="188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</row>
    <row r="162" ht="12.75" customHeight="1">
      <c r="A162" s="10"/>
      <c r="B162" s="10"/>
      <c r="C162" s="10"/>
      <c r="D162" s="10"/>
      <c r="E162" s="10"/>
      <c r="F162" s="187"/>
      <c r="G162" s="188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</row>
    <row r="163" ht="12.75" customHeight="1">
      <c r="A163" s="10"/>
      <c r="B163" s="10"/>
      <c r="C163" s="10"/>
      <c r="D163" s="10"/>
      <c r="E163" s="10"/>
      <c r="F163" s="187"/>
      <c r="G163" s="188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</row>
    <row r="164" ht="12.75" customHeight="1">
      <c r="A164" s="10"/>
      <c r="B164" s="10"/>
      <c r="C164" s="10"/>
      <c r="D164" s="10"/>
      <c r="E164" s="10"/>
      <c r="F164" s="187"/>
      <c r="G164" s="188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</row>
    <row r="165" ht="12.75" customHeight="1">
      <c r="A165" s="10"/>
      <c r="B165" s="10"/>
      <c r="C165" s="10"/>
      <c r="D165" s="10"/>
      <c r="E165" s="10"/>
      <c r="F165" s="187"/>
      <c r="G165" s="188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</row>
    <row r="166" ht="12.75" customHeight="1">
      <c r="A166" s="10"/>
      <c r="B166" s="10"/>
      <c r="C166" s="10"/>
      <c r="D166" s="10"/>
      <c r="E166" s="10"/>
      <c r="F166" s="187"/>
      <c r="G166" s="188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</row>
    <row r="167" ht="12.75" customHeight="1">
      <c r="A167" s="10"/>
      <c r="B167" s="10"/>
      <c r="C167" s="10"/>
      <c r="D167" s="10"/>
      <c r="E167" s="10"/>
      <c r="F167" s="187"/>
      <c r="G167" s="188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</row>
    <row r="168" ht="12.75" customHeight="1">
      <c r="A168" s="10"/>
      <c r="B168" s="10"/>
      <c r="C168" s="10"/>
      <c r="D168" s="10"/>
      <c r="E168" s="10"/>
      <c r="F168" s="187"/>
      <c r="G168" s="188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</row>
    <row r="169" ht="12.75" customHeight="1">
      <c r="A169" s="10"/>
      <c r="B169" s="10"/>
      <c r="C169" s="10"/>
      <c r="D169" s="10"/>
      <c r="E169" s="10"/>
      <c r="F169" s="187"/>
      <c r="G169" s="188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</row>
    <row r="170" ht="12.75" customHeight="1">
      <c r="A170" s="10"/>
      <c r="B170" s="10"/>
      <c r="C170" s="10"/>
      <c r="D170" s="10"/>
      <c r="E170" s="10"/>
      <c r="F170" s="187"/>
      <c r="G170" s="188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</row>
    <row r="171" ht="12.75" customHeight="1">
      <c r="A171" s="10"/>
      <c r="B171" s="10"/>
      <c r="C171" s="10"/>
      <c r="D171" s="10"/>
      <c r="E171" s="10"/>
      <c r="F171" s="187"/>
      <c r="G171" s="188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</row>
    <row r="172" ht="12.75" customHeight="1">
      <c r="A172" s="10"/>
      <c r="B172" s="10"/>
      <c r="C172" s="10"/>
      <c r="D172" s="10"/>
      <c r="E172" s="10"/>
      <c r="F172" s="187"/>
      <c r="G172" s="188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</row>
    <row r="173" ht="12.75" customHeight="1">
      <c r="A173" s="10"/>
      <c r="B173" s="10"/>
      <c r="C173" s="10"/>
      <c r="D173" s="10"/>
      <c r="E173" s="10"/>
      <c r="F173" s="187"/>
      <c r="G173" s="188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</row>
    <row r="174" ht="12.75" customHeight="1">
      <c r="A174" s="10"/>
      <c r="B174" s="10"/>
      <c r="C174" s="10"/>
      <c r="D174" s="10"/>
      <c r="E174" s="10"/>
      <c r="F174" s="187"/>
      <c r="G174" s="188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</row>
    <row r="175" ht="12.75" customHeight="1">
      <c r="A175" s="10"/>
      <c r="B175" s="10"/>
      <c r="C175" s="10"/>
      <c r="D175" s="10"/>
      <c r="E175" s="10"/>
      <c r="F175" s="187"/>
      <c r="G175" s="188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</row>
    <row r="176" ht="12.75" customHeight="1">
      <c r="A176" s="10"/>
      <c r="B176" s="10"/>
      <c r="C176" s="10"/>
      <c r="D176" s="10"/>
      <c r="E176" s="10"/>
      <c r="F176" s="187"/>
      <c r="G176" s="188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</row>
    <row r="177" ht="12.75" customHeight="1">
      <c r="A177" s="10"/>
      <c r="B177" s="10"/>
      <c r="C177" s="10"/>
      <c r="D177" s="10"/>
      <c r="E177" s="10"/>
      <c r="F177" s="187"/>
      <c r="G177" s="188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</row>
    <row r="178" ht="12.75" customHeight="1">
      <c r="A178" s="10"/>
      <c r="B178" s="10"/>
      <c r="C178" s="10"/>
      <c r="D178" s="10"/>
      <c r="E178" s="10"/>
      <c r="F178" s="187"/>
      <c r="G178" s="188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</row>
    <row r="179" ht="12.75" customHeight="1">
      <c r="A179" s="10"/>
      <c r="B179" s="10"/>
      <c r="C179" s="10"/>
      <c r="D179" s="10"/>
      <c r="E179" s="10"/>
      <c r="F179" s="187"/>
      <c r="G179" s="188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</row>
    <row r="180" ht="12.75" customHeight="1">
      <c r="A180" s="10"/>
      <c r="B180" s="10"/>
      <c r="C180" s="10"/>
      <c r="D180" s="10"/>
      <c r="E180" s="10"/>
      <c r="F180" s="187"/>
      <c r="G180" s="188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</row>
    <row r="181" ht="12.75" customHeight="1">
      <c r="A181" s="10"/>
      <c r="B181" s="10"/>
      <c r="C181" s="10"/>
      <c r="D181" s="10"/>
      <c r="E181" s="10"/>
      <c r="F181" s="187"/>
      <c r="G181" s="188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</row>
    <row r="182" ht="12.75" customHeight="1">
      <c r="A182" s="10"/>
      <c r="B182" s="10"/>
      <c r="C182" s="10"/>
      <c r="D182" s="10"/>
      <c r="E182" s="10"/>
      <c r="F182" s="187"/>
      <c r="G182" s="188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</row>
    <row r="183" ht="12.75" customHeight="1">
      <c r="A183" s="10"/>
      <c r="B183" s="10"/>
      <c r="C183" s="10"/>
      <c r="D183" s="10"/>
      <c r="E183" s="10"/>
      <c r="F183" s="187"/>
      <c r="G183" s="188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</row>
    <row r="184" ht="12.75" customHeight="1">
      <c r="A184" s="10"/>
      <c r="B184" s="10"/>
      <c r="C184" s="10"/>
      <c r="D184" s="10"/>
      <c r="E184" s="10"/>
      <c r="F184" s="187"/>
      <c r="G184" s="188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</row>
    <row r="185" ht="12.75" customHeight="1">
      <c r="A185" s="10"/>
      <c r="B185" s="10"/>
      <c r="C185" s="10"/>
      <c r="D185" s="10"/>
      <c r="E185" s="10"/>
      <c r="F185" s="187"/>
      <c r="G185" s="188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</row>
    <row r="186" ht="12.75" customHeight="1">
      <c r="A186" s="10"/>
      <c r="B186" s="10"/>
      <c r="C186" s="10"/>
      <c r="D186" s="10"/>
      <c r="E186" s="10"/>
      <c r="F186" s="187"/>
      <c r="G186" s="188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</row>
    <row r="187" ht="12.75" customHeight="1">
      <c r="A187" s="10"/>
      <c r="B187" s="10"/>
      <c r="C187" s="10"/>
      <c r="D187" s="10"/>
      <c r="E187" s="10"/>
      <c r="F187" s="187"/>
      <c r="G187" s="188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</row>
    <row r="188" ht="12.75" customHeight="1">
      <c r="A188" s="10"/>
      <c r="B188" s="10"/>
      <c r="C188" s="10"/>
      <c r="D188" s="10"/>
      <c r="E188" s="10"/>
      <c r="F188" s="187"/>
      <c r="G188" s="188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</row>
    <row r="189" ht="12.75" customHeight="1">
      <c r="A189" s="10"/>
      <c r="B189" s="10"/>
      <c r="C189" s="10"/>
      <c r="D189" s="10"/>
      <c r="E189" s="10"/>
      <c r="F189" s="187"/>
      <c r="G189" s="188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</row>
    <row r="190" ht="12.75" customHeight="1">
      <c r="A190" s="10"/>
      <c r="B190" s="10"/>
      <c r="C190" s="10"/>
      <c r="D190" s="10"/>
      <c r="E190" s="10"/>
      <c r="F190" s="187"/>
      <c r="G190" s="188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</row>
    <row r="191" ht="12.75" customHeight="1">
      <c r="A191" s="10"/>
      <c r="B191" s="10"/>
      <c r="C191" s="10"/>
      <c r="D191" s="10"/>
      <c r="E191" s="10"/>
      <c r="F191" s="187"/>
      <c r="G191" s="188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</row>
    <row r="192" ht="12.75" customHeight="1">
      <c r="A192" s="10"/>
      <c r="B192" s="10"/>
      <c r="C192" s="10"/>
      <c r="D192" s="10"/>
      <c r="E192" s="10"/>
      <c r="F192" s="187"/>
      <c r="G192" s="188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</row>
    <row r="193" ht="12.75" customHeight="1">
      <c r="A193" s="10"/>
      <c r="B193" s="10"/>
      <c r="C193" s="10"/>
      <c r="D193" s="10"/>
      <c r="E193" s="10"/>
      <c r="F193" s="187"/>
      <c r="G193" s="188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</row>
    <row r="194" ht="12.75" customHeight="1">
      <c r="A194" s="10"/>
      <c r="B194" s="10"/>
      <c r="C194" s="10"/>
      <c r="D194" s="10"/>
      <c r="E194" s="10"/>
      <c r="F194" s="187"/>
      <c r="G194" s="188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</row>
    <row r="195" ht="12.75" customHeight="1">
      <c r="A195" s="10"/>
      <c r="B195" s="10"/>
      <c r="C195" s="10"/>
      <c r="D195" s="10"/>
      <c r="E195" s="10"/>
      <c r="F195" s="187"/>
      <c r="G195" s="188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</row>
    <row r="196" ht="12.75" customHeight="1">
      <c r="A196" s="10"/>
      <c r="B196" s="10"/>
      <c r="C196" s="10"/>
      <c r="D196" s="10"/>
      <c r="E196" s="10"/>
      <c r="F196" s="187"/>
      <c r="G196" s="188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</row>
    <row r="197" ht="12.75" customHeight="1">
      <c r="A197" s="10"/>
      <c r="B197" s="10"/>
      <c r="C197" s="10"/>
      <c r="D197" s="10"/>
      <c r="E197" s="10"/>
      <c r="F197" s="187"/>
      <c r="G197" s="188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</row>
    <row r="198" ht="12.75" customHeight="1">
      <c r="A198" s="10"/>
      <c r="B198" s="10"/>
      <c r="C198" s="10"/>
      <c r="D198" s="10"/>
      <c r="E198" s="10"/>
      <c r="F198" s="187"/>
      <c r="G198" s="188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</row>
    <row r="199" ht="12.75" customHeight="1">
      <c r="A199" s="10"/>
      <c r="B199" s="10"/>
      <c r="C199" s="10"/>
      <c r="D199" s="10"/>
      <c r="E199" s="10"/>
      <c r="F199" s="187"/>
      <c r="G199" s="188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</row>
    <row r="200" ht="12.75" customHeight="1">
      <c r="A200" s="10"/>
      <c r="B200" s="10"/>
      <c r="C200" s="10"/>
      <c r="D200" s="10"/>
      <c r="E200" s="10"/>
      <c r="F200" s="187"/>
      <c r="G200" s="188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</row>
    <row r="201" ht="12.75" customHeight="1">
      <c r="A201" s="10"/>
      <c r="B201" s="10"/>
      <c r="C201" s="10"/>
      <c r="D201" s="10"/>
      <c r="E201" s="10"/>
      <c r="F201" s="187"/>
      <c r="G201" s="188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</row>
    <row r="202" ht="12.75" customHeight="1">
      <c r="A202" s="10"/>
      <c r="B202" s="10"/>
      <c r="C202" s="10"/>
      <c r="D202" s="10"/>
      <c r="E202" s="10"/>
      <c r="F202" s="187"/>
      <c r="G202" s="188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</row>
    <row r="203" ht="12.75" customHeight="1">
      <c r="A203" s="10"/>
      <c r="B203" s="10"/>
      <c r="C203" s="10"/>
      <c r="D203" s="10"/>
      <c r="E203" s="10"/>
      <c r="F203" s="187"/>
      <c r="G203" s="188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</row>
    <row r="204" ht="12.75" customHeight="1">
      <c r="A204" s="10"/>
      <c r="B204" s="10"/>
      <c r="C204" s="10"/>
      <c r="D204" s="10"/>
      <c r="E204" s="10"/>
      <c r="F204" s="187"/>
      <c r="G204" s="188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</row>
    <row r="205" ht="12.75" customHeight="1">
      <c r="A205" s="10"/>
      <c r="B205" s="10"/>
      <c r="C205" s="10"/>
      <c r="D205" s="10"/>
      <c r="E205" s="10"/>
      <c r="F205" s="187"/>
      <c r="G205" s="188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</row>
    <row r="206" ht="12.75" customHeight="1">
      <c r="A206" s="10"/>
      <c r="B206" s="10"/>
      <c r="C206" s="10"/>
      <c r="D206" s="10"/>
      <c r="E206" s="10"/>
      <c r="F206" s="187"/>
      <c r="G206" s="188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</row>
    <row r="207" ht="12.75" customHeight="1">
      <c r="A207" s="10"/>
      <c r="B207" s="10"/>
      <c r="C207" s="10"/>
      <c r="D207" s="10"/>
      <c r="E207" s="10"/>
      <c r="F207" s="187"/>
      <c r="G207" s="188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</row>
    <row r="208" ht="12.75" customHeight="1">
      <c r="A208" s="10"/>
      <c r="B208" s="10"/>
      <c r="C208" s="10"/>
      <c r="D208" s="10"/>
      <c r="E208" s="10"/>
      <c r="F208" s="187"/>
      <c r="G208" s="188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</row>
    <row r="209" ht="12.75" customHeight="1">
      <c r="A209" s="10"/>
      <c r="B209" s="10"/>
      <c r="C209" s="10"/>
      <c r="D209" s="10"/>
      <c r="E209" s="10"/>
      <c r="F209" s="187"/>
      <c r="G209" s="188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</row>
    <row r="210" ht="12.75" customHeight="1">
      <c r="A210" s="10"/>
      <c r="B210" s="10"/>
      <c r="C210" s="10"/>
      <c r="D210" s="10"/>
      <c r="E210" s="10"/>
      <c r="F210" s="187"/>
      <c r="G210" s="188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</row>
    <row r="211" ht="12.75" customHeight="1">
      <c r="A211" s="10"/>
      <c r="B211" s="10"/>
      <c r="C211" s="10"/>
      <c r="D211" s="10"/>
      <c r="E211" s="10"/>
      <c r="F211" s="187"/>
      <c r="G211" s="188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</row>
    <row r="212" ht="12.75" customHeight="1">
      <c r="A212" s="10"/>
      <c r="B212" s="10"/>
      <c r="C212" s="10"/>
      <c r="D212" s="10"/>
      <c r="E212" s="10"/>
      <c r="F212" s="187"/>
      <c r="G212" s="188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</row>
    <row r="213" ht="12.75" customHeight="1">
      <c r="A213" s="10"/>
      <c r="B213" s="10"/>
      <c r="C213" s="10"/>
      <c r="D213" s="10"/>
      <c r="E213" s="10"/>
      <c r="F213" s="187"/>
      <c r="G213" s="188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</row>
    <row r="214" ht="12.75" customHeight="1">
      <c r="A214" s="10"/>
      <c r="B214" s="10"/>
      <c r="C214" s="10"/>
      <c r="D214" s="10"/>
      <c r="E214" s="10"/>
      <c r="F214" s="187"/>
      <c r="G214" s="188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</row>
    <row r="215" ht="12.75" customHeight="1">
      <c r="A215" s="10"/>
      <c r="B215" s="10"/>
      <c r="C215" s="10"/>
      <c r="D215" s="10"/>
      <c r="E215" s="10"/>
      <c r="F215" s="187"/>
      <c r="G215" s="188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</row>
    <row r="216" ht="12.75" customHeight="1">
      <c r="A216" s="10"/>
      <c r="B216" s="10"/>
      <c r="C216" s="10"/>
      <c r="D216" s="10"/>
      <c r="E216" s="10"/>
      <c r="F216" s="187"/>
      <c r="G216" s="188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</row>
    <row r="217" ht="12.75" customHeight="1">
      <c r="A217" s="10"/>
      <c r="B217" s="10"/>
      <c r="C217" s="10"/>
      <c r="D217" s="10"/>
      <c r="E217" s="10"/>
      <c r="F217" s="187"/>
      <c r="G217" s="188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</row>
    <row r="218" ht="12.75" customHeight="1">
      <c r="A218" s="10"/>
      <c r="B218" s="10"/>
      <c r="C218" s="10"/>
      <c r="D218" s="10"/>
      <c r="E218" s="10"/>
      <c r="F218" s="187"/>
      <c r="G218" s="188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</row>
    <row r="219" ht="12.75" customHeight="1">
      <c r="A219" s="10"/>
      <c r="B219" s="10"/>
      <c r="C219" s="10"/>
      <c r="D219" s="10"/>
      <c r="E219" s="10"/>
      <c r="F219" s="187"/>
      <c r="G219" s="188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</row>
    <row r="220" ht="12.75" customHeight="1">
      <c r="A220" s="10"/>
      <c r="B220" s="10"/>
      <c r="C220" s="10"/>
      <c r="D220" s="10"/>
      <c r="E220" s="10"/>
      <c r="F220" s="187"/>
      <c r="G220" s="188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</row>
    <row r="221" ht="12.75" customHeight="1">
      <c r="A221" s="10"/>
      <c r="B221" s="10"/>
      <c r="C221" s="10"/>
      <c r="D221" s="10"/>
      <c r="E221" s="10"/>
      <c r="F221" s="187"/>
      <c r="G221" s="188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</row>
    <row r="222" ht="12.75" customHeight="1">
      <c r="A222" s="10"/>
      <c r="B222" s="10"/>
      <c r="C222" s="10"/>
      <c r="D222" s="10"/>
      <c r="E222" s="10"/>
      <c r="F222" s="187"/>
      <c r="G222" s="188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</row>
    <row r="223" ht="12.75" customHeight="1">
      <c r="A223" s="10"/>
      <c r="B223" s="10"/>
      <c r="C223" s="10"/>
      <c r="D223" s="10"/>
      <c r="E223" s="10"/>
      <c r="F223" s="187"/>
      <c r="G223" s="188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</row>
    <row r="224" ht="12.75" customHeight="1">
      <c r="A224" s="10"/>
      <c r="B224" s="10"/>
      <c r="C224" s="10"/>
      <c r="D224" s="10"/>
      <c r="E224" s="10"/>
      <c r="F224" s="187"/>
      <c r="G224" s="188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</row>
    <row r="225" ht="12.75" customHeight="1">
      <c r="A225" s="10"/>
      <c r="B225" s="10"/>
      <c r="C225" s="10"/>
      <c r="D225" s="10"/>
      <c r="E225" s="10"/>
      <c r="F225" s="187"/>
      <c r="G225" s="188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</row>
    <row r="226" ht="12.75" customHeight="1">
      <c r="A226" s="10"/>
      <c r="B226" s="10"/>
      <c r="C226" s="10"/>
      <c r="D226" s="10"/>
      <c r="E226" s="10"/>
      <c r="F226" s="187"/>
      <c r="G226" s="188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</row>
    <row r="227" ht="12.75" customHeight="1">
      <c r="A227" s="10"/>
      <c r="B227" s="10"/>
      <c r="C227" s="10"/>
      <c r="D227" s="10"/>
      <c r="E227" s="10"/>
      <c r="F227" s="187"/>
      <c r="G227" s="188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</row>
    <row r="228" ht="12.75" customHeight="1">
      <c r="A228" s="10"/>
      <c r="B228" s="10"/>
      <c r="C228" s="10"/>
      <c r="D228" s="10"/>
      <c r="E228" s="10"/>
      <c r="F228" s="187"/>
      <c r="G228" s="188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</row>
    <row r="229" ht="12.75" customHeight="1">
      <c r="A229" s="10"/>
      <c r="B229" s="10"/>
      <c r="C229" s="10"/>
      <c r="D229" s="10"/>
      <c r="E229" s="10"/>
      <c r="F229" s="187"/>
      <c r="G229" s="188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</row>
    <row r="230" ht="12.75" customHeight="1">
      <c r="A230" s="10"/>
      <c r="B230" s="10"/>
      <c r="C230" s="10"/>
      <c r="D230" s="10"/>
      <c r="E230" s="10"/>
      <c r="F230" s="187"/>
      <c r="G230" s="188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</row>
    <row r="231" ht="12.75" customHeight="1">
      <c r="A231" s="10"/>
      <c r="B231" s="10"/>
      <c r="C231" s="10"/>
      <c r="D231" s="10"/>
      <c r="E231" s="10"/>
      <c r="F231" s="187"/>
      <c r="G231" s="188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</row>
    <row r="232" ht="12.75" customHeight="1">
      <c r="A232" s="10"/>
      <c r="B232" s="10"/>
      <c r="C232" s="10"/>
      <c r="D232" s="10"/>
      <c r="E232" s="10"/>
      <c r="F232" s="187"/>
      <c r="G232" s="188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</row>
    <row r="233" ht="12.75" customHeight="1">
      <c r="A233" s="10"/>
      <c r="B233" s="10"/>
      <c r="C233" s="10"/>
      <c r="D233" s="10"/>
      <c r="E233" s="10"/>
      <c r="F233" s="187"/>
      <c r="G233" s="188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</row>
    <row r="234" ht="12.75" customHeight="1">
      <c r="A234" s="10"/>
      <c r="B234" s="10"/>
      <c r="C234" s="10"/>
      <c r="D234" s="10"/>
      <c r="E234" s="10"/>
      <c r="F234" s="187"/>
      <c r="G234" s="188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</row>
    <row r="235" ht="12.75" customHeight="1">
      <c r="A235" s="10"/>
      <c r="B235" s="10"/>
      <c r="C235" s="10"/>
      <c r="D235" s="10"/>
      <c r="E235" s="10"/>
      <c r="F235" s="187"/>
      <c r="G235" s="188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</row>
    <row r="236" ht="12.75" customHeight="1">
      <c r="A236" s="10"/>
      <c r="B236" s="10"/>
      <c r="C236" s="10"/>
      <c r="D236" s="10"/>
      <c r="E236" s="10"/>
      <c r="F236" s="187"/>
      <c r="G236" s="188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</row>
    <row r="237" ht="12.75" customHeight="1">
      <c r="A237" s="10"/>
      <c r="B237" s="10"/>
      <c r="C237" s="10"/>
      <c r="D237" s="10"/>
      <c r="E237" s="10"/>
      <c r="F237" s="187"/>
      <c r="G237" s="188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</row>
    <row r="238" ht="12.75" customHeight="1">
      <c r="A238" s="10"/>
      <c r="B238" s="10"/>
      <c r="C238" s="10"/>
      <c r="D238" s="10"/>
      <c r="E238" s="10"/>
      <c r="F238" s="187"/>
      <c r="G238" s="188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</row>
    <row r="239" ht="12.75" customHeight="1">
      <c r="A239" s="10"/>
      <c r="B239" s="10"/>
      <c r="C239" s="10"/>
      <c r="D239" s="10"/>
      <c r="E239" s="10"/>
      <c r="F239" s="187"/>
      <c r="G239" s="188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</row>
    <row r="240" ht="12.75" customHeight="1">
      <c r="A240" s="10"/>
      <c r="B240" s="10"/>
      <c r="C240" s="10"/>
      <c r="D240" s="10"/>
      <c r="E240" s="10"/>
      <c r="F240" s="187"/>
      <c r="G240" s="188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</row>
    <row r="241" ht="12.75" customHeight="1">
      <c r="A241" s="10"/>
      <c r="B241" s="10"/>
      <c r="C241" s="10"/>
      <c r="D241" s="10"/>
      <c r="E241" s="10"/>
      <c r="F241" s="187"/>
      <c r="G241" s="188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</row>
    <row r="242" ht="12.75" customHeight="1">
      <c r="A242" s="10"/>
      <c r="B242" s="10"/>
      <c r="C242" s="10"/>
      <c r="D242" s="10"/>
      <c r="E242" s="10"/>
      <c r="F242" s="187"/>
      <c r="G242" s="188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</row>
    <row r="243" ht="12.75" customHeight="1">
      <c r="A243" s="10"/>
      <c r="B243" s="10"/>
      <c r="C243" s="10"/>
      <c r="D243" s="10"/>
      <c r="E243" s="10"/>
      <c r="F243" s="187"/>
      <c r="G243" s="188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</row>
    <row r="244" ht="12.75" customHeight="1">
      <c r="A244" s="10"/>
      <c r="B244" s="10"/>
      <c r="C244" s="10"/>
      <c r="D244" s="10"/>
      <c r="E244" s="10"/>
      <c r="F244" s="187"/>
      <c r="G244" s="188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</row>
    <row r="245" ht="12.75" customHeight="1">
      <c r="A245" s="10"/>
      <c r="B245" s="10"/>
      <c r="C245" s="10"/>
      <c r="D245" s="10"/>
      <c r="E245" s="10"/>
      <c r="F245" s="187"/>
      <c r="G245" s="188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</row>
    <row r="246" ht="12.75" customHeight="1">
      <c r="A246" s="10"/>
      <c r="B246" s="10"/>
      <c r="C246" s="10"/>
      <c r="D246" s="10"/>
      <c r="E246" s="10"/>
      <c r="F246" s="187"/>
      <c r="G246" s="188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</row>
    <row r="247" ht="12.75" customHeight="1">
      <c r="A247" s="10"/>
      <c r="B247" s="10"/>
      <c r="C247" s="10"/>
      <c r="D247" s="10"/>
      <c r="E247" s="10"/>
      <c r="F247" s="187"/>
      <c r="G247" s="188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</row>
    <row r="248" ht="12.75" customHeight="1">
      <c r="A248" s="10"/>
      <c r="B248" s="10"/>
      <c r="C248" s="10"/>
      <c r="D248" s="10"/>
      <c r="E248" s="10"/>
      <c r="F248" s="187"/>
      <c r="G248" s="188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</row>
    <row r="249" ht="12.75" customHeight="1">
      <c r="A249" s="10"/>
      <c r="B249" s="10"/>
      <c r="C249" s="10"/>
      <c r="D249" s="10"/>
      <c r="E249" s="10"/>
      <c r="F249" s="187"/>
      <c r="G249" s="188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</row>
    <row r="250" ht="12.75" customHeight="1">
      <c r="A250" s="10"/>
      <c r="B250" s="10"/>
      <c r="C250" s="10"/>
      <c r="D250" s="10"/>
      <c r="E250" s="10"/>
      <c r="F250" s="187"/>
      <c r="G250" s="188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</row>
    <row r="251" ht="12.75" customHeight="1">
      <c r="A251" s="10"/>
      <c r="B251" s="10"/>
      <c r="C251" s="10"/>
      <c r="D251" s="10"/>
      <c r="E251" s="10"/>
      <c r="F251" s="187"/>
      <c r="G251" s="188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</row>
    <row r="252" ht="12.75" customHeight="1">
      <c r="A252" s="10"/>
      <c r="B252" s="10"/>
      <c r="C252" s="10"/>
      <c r="D252" s="10"/>
      <c r="E252" s="10"/>
      <c r="F252" s="187"/>
      <c r="G252" s="188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</row>
    <row r="253" ht="12.75" customHeight="1">
      <c r="A253" s="10"/>
      <c r="B253" s="10"/>
      <c r="C253" s="10"/>
      <c r="D253" s="10"/>
      <c r="E253" s="10"/>
      <c r="F253" s="187"/>
      <c r="G253" s="188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</row>
    <row r="254" ht="12.75" customHeight="1">
      <c r="A254" s="10"/>
      <c r="B254" s="10"/>
      <c r="C254" s="10"/>
      <c r="D254" s="10"/>
      <c r="E254" s="10"/>
      <c r="F254" s="187"/>
      <c r="G254" s="188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</row>
    <row r="255" ht="12.75" customHeight="1">
      <c r="A255" s="10"/>
      <c r="B255" s="10"/>
      <c r="C255" s="10"/>
      <c r="D255" s="10"/>
      <c r="E255" s="10"/>
      <c r="F255" s="187"/>
      <c r="G255" s="188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</row>
    <row r="256" ht="12.75" customHeight="1">
      <c r="A256" s="10"/>
      <c r="B256" s="10"/>
      <c r="C256" s="10"/>
      <c r="D256" s="10"/>
      <c r="E256" s="10"/>
      <c r="F256" s="187"/>
      <c r="G256" s="188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</row>
    <row r="257" ht="12.75" customHeight="1">
      <c r="A257" s="10"/>
      <c r="B257" s="10"/>
      <c r="C257" s="10"/>
      <c r="D257" s="10"/>
      <c r="E257" s="10"/>
      <c r="F257" s="187"/>
      <c r="G257" s="188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</row>
    <row r="258" ht="12.75" customHeight="1">
      <c r="A258" s="10"/>
      <c r="B258" s="10"/>
      <c r="C258" s="10"/>
      <c r="D258" s="10"/>
      <c r="E258" s="10"/>
      <c r="F258" s="187"/>
      <c r="G258" s="188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</row>
    <row r="259" ht="12.75" customHeight="1">
      <c r="A259" s="10"/>
      <c r="B259" s="10"/>
      <c r="C259" s="10"/>
      <c r="D259" s="10"/>
      <c r="E259" s="10"/>
      <c r="F259" s="187"/>
      <c r="G259" s="188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</row>
    <row r="260" ht="12.75" customHeight="1">
      <c r="A260" s="10"/>
      <c r="B260" s="10"/>
      <c r="C260" s="10"/>
      <c r="D260" s="10"/>
      <c r="E260" s="10"/>
      <c r="F260" s="187"/>
      <c r="G260" s="188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</row>
    <row r="261" ht="12.75" customHeight="1">
      <c r="A261" s="10"/>
      <c r="B261" s="10"/>
      <c r="C261" s="10"/>
      <c r="D261" s="10"/>
      <c r="E261" s="10"/>
      <c r="F261" s="187"/>
      <c r="G261" s="188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</row>
    <row r="262" ht="12.75" customHeight="1">
      <c r="A262" s="10"/>
      <c r="B262" s="10"/>
      <c r="C262" s="10"/>
      <c r="D262" s="10"/>
      <c r="E262" s="10"/>
      <c r="F262" s="187"/>
      <c r="G262" s="188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</row>
    <row r="263" ht="12.75" customHeight="1">
      <c r="A263" s="10"/>
      <c r="B263" s="10"/>
      <c r="C263" s="10"/>
      <c r="D263" s="10"/>
      <c r="E263" s="10"/>
      <c r="F263" s="187"/>
      <c r="G263" s="188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</row>
    <row r="264" ht="12.75" customHeight="1">
      <c r="A264" s="10"/>
      <c r="B264" s="10"/>
      <c r="C264" s="10"/>
      <c r="D264" s="10"/>
      <c r="E264" s="10"/>
      <c r="F264" s="187"/>
      <c r="G264" s="188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</row>
    <row r="265" ht="12.75" customHeight="1">
      <c r="A265" s="10"/>
      <c r="B265" s="10"/>
      <c r="C265" s="10"/>
      <c r="D265" s="10"/>
      <c r="E265" s="10"/>
      <c r="F265" s="187"/>
      <c r="G265" s="188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</row>
    <row r="266" ht="12.75" customHeight="1">
      <c r="A266" s="10"/>
      <c r="B266" s="10"/>
      <c r="C266" s="10"/>
      <c r="D266" s="10"/>
      <c r="E266" s="10"/>
      <c r="F266" s="187"/>
      <c r="G266" s="188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</row>
    <row r="267" ht="12.75" customHeight="1">
      <c r="A267" s="10"/>
      <c r="B267" s="10"/>
      <c r="C267" s="10"/>
      <c r="D267" s="10"/>
      <c r="E267" s="10"/>
      <c r="F267" s="187"/>
      <c r="G267" s="188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</row>
    <row r="268" ht="12.75" customHeight="1">
      <c r="A268" s="10"/>
      <c r="B268" s="10"/>
      <c r="C268" s="10"/>
      <c r="D268" s="10"/>
      <c r="E268" s="10"/>
      <c r="F268" s="187"/>
      <c r="G268" s="188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</row>
    <row r="269" ht="12.75" customHeight="1">
      <c r="A269" s="10"/>
      <c r="B269" s="10"/>
      <c r="C269" s="10"/>
      <c r="D269" s="10"/>
      <c r="E269" s="10"/>
      <c r="F269" s="187"/>
      <c r="G269" s="188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</row>
    <row r="270" ht="12.75" customHeight="1">
      <c r="A270" s="10"/>
      <c r="B270" s="10"/>
      <c r="C270" s="10"/>
      <c r="D270" s="10"/>
      <c r="E270" s="10"/>
      <c r="F270" s="187"/>
      <c r="G270" s="188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</row>
    <row r="271" ht="12.75" customHeight="1">
      <c r="A271" s="10"/>
      <c r="B271" s="10"/>
      <c r="C271" s="10"/>
      <c r="D271" s="10"/>
      <c r="E271" s="10"/>
      <c r="F271" s="187"/>
      <c r="G271" s="188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</row>
    <row r="272" ht="12.75" customHeight="1">
      <c r="A272" s="10"/>
      <c r="B272" s="10"/>
      <c r="C272" s="10"/>
      <c r="D272" s="10"/>
      <c r="E272" s="10"/>
      <c r="F272" s="187"/>
      <c r="G272" s="188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</row>
    <row r="273" ht="12.75" customHeight="1">
      <c r="A273" s="10"/>
      <c r="B273" s="10"/>
      <c r="C273" s="10"/>
      <c r="D273" s="10"/>
      <c r="E273" s="10"/>
      <c r="F273" s="187"/>
      <c r="G273" s="188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</row>
    <row r="274" ht="12.75" customHeight="1">
      <c r="A274" s="10"/>
      <c r="B274" s="10"/>
      <c r="C274" s="10"/>
      <c r="D274" s="10"/>
      <c r="E274" s="10"/>
      <c r="F274" s="187"/>
      <c r="G274" s="188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</row>
    <row r="275" ht="12.75" customHeight="1">
      <c r="A275" s="10"/>
      <c r="B275" s="10"/>
      <c r="C275" s="10"/>
      <c r="D275" s="10"/>
      <c r="E275" s="10"/>
      <c r="F275" s="187"/>
      <c r="G275" s="188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</row>
    <row r="276" ht="12.75" customHeight="1">
      <c r="A276" s="10"/>
      <c r="B276" s="10"/>
      <c r="C276" s="10"/>
      <c r="D276" s="10"/>
      <c r="E276" s="10"/>
      <c r="F276" s="187"/>
      <c r="G276" s="188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</row>
    <row r="277" ht="12.75" customHeight="1">
      <c r="A277" s="10"/>
      <c r="B277" s="10"/>
      <c r="C277" s="10"/>
      <c r="D277" s="10"/>
      <c r="E277" s="10"/>
      <c r="F277" s="187"/>
      <c r="G277" s="188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</row>
    <row r="278" ht="12.75" customHeight="1">
      <c r="A278" s="10"/>
      <c r="B278" s="10"/>
      <c r="C278" s="10"/>
      <c r="D278" s="10"/>
      <c r="E278" s="10"/>
      <c r="F278" s="187"/>
      <c r="G278" s="188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</row>
    <row r="279" ht="12.75" customHeight="1">
      <c r="A279" s="10"/>
      <c r="B279" s="10"/>
      <c r="C279" s="10"/>
      <c r="D279" s="10"/>
      <c r="E279" s="10"/>
      <c r="F279" s="187"/>
      <c r="G279" s="188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</row>
    <row r="280" ht="12.75" customHeight="1">
      <c r="A280" s="10"/>
      <c r="B280" s="10"/>
      <c r="C280" s="10"/>
      <c r="D280" s="10"/>
      <c r="E280" s="10"/>
      <c r="F280" s="187"/>
      <c r="G280" s="188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</row>
    <row r="281" ht="12.75" customHeight="1">
      <c r="A281" s="10"/>
      <c r="B281" s="10"/>
      <c r="C281" s="10"/>
      <c r="D281" s="10"/>
      <c r="E281" s="10"/>
      <c r="F281" s="187"/>
      <c r="G281" s="188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</row>
    <row r="282" ht="12.75" customHeight="1">
      <c r="A282" s="10"/>
      <c r="B282" s="10"/>
      <c r="C282" s="10"/>
      <c r="D282" s="10"/>
      <c r="E282" s="10"/>
      <c r="F282" s="187"/>
      <c r="G282" s="188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</row>
    <row r="283" ht="12.75" customHeight="1">
      <c r="A283" s="10"/>
      <c r="B283" s="10"/>
      <c r="C283" s="10"/>
      <c r="D283" s="10"/>
      <c r="E283" s="10"/>
      <c r="F283" s="187"/>
      <c r="G283" s="188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</row>
    <row r="284" ht="12.75" customHeight="1">
      <c r="A284" s="10"/>
      <c r="B284" s="10"/>
      <c r="C284" s="10"/>
      <c r="D284" s="10"/>
      <c r="E284" s="10"/>
      <c r="F284" s="187"/>
      <c r="G284" s="188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</row>
    <row r="285" ht="12.75" customHeight="1">
      <c r="A285" s="10"/>
      <c r="B285" s="10"/>
      <c r="C285" s="10"/>
      <c r="D285" s="10"/>
      <c r="E285" s="10"/>
      <c r="F285" s="187"/>
      <c r="G285" s="188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</row>
    <row r="286" ht="12.75" customHeight="1">
      <c r="A286" s="10"/>
      <c r="B286" s="10"/>
      <c r="C286" s="10"/>
      <c r="D286" s="10"/>
      <c r="E286" s="10"/>
      <c r="F286" s="187"/>
      <c r="G286" s="188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</row>
    <row r="287" ht="12.75" customHeight="1">
      <c r="A287" s="10"/>
      <c r="B287" s="10"/>
      <c r="C287" s="10"/>
      <c r="D287" s="10"/>
      <c r="E287" s="10"/>
      <c r="F287" s="187"/>
      <c r="G287" s="188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</row>
    <row r="288" ht="12.75" customHeight="1">
      <c r="A288" s="10"/>
      <c r="B288" s="10"/>
      <c r="C288" s="10"/>
      <c r="D288" s="10"/>
      <c r="E288" s="10"/>
      <c r="F288" s="187"/>
      <c r="G288" s="188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</row>
    <row r="289" ht="12.75" customHeight="1">
      <c r="A289" s="10"/>
      <c r="B289" s="10"/>
      <c r="C289" s="10"/>
      <c r="D289" s="10"/>
      <c r="E289" s="10"/>
      <c r="F289" s="187"/>
      <c r="G289" s="188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</row>
    <row r="290" ht="12.75" customHeight="1">
      <c r="A290" s="10"/>
      <c r="B290" s="10"/>
      <c r="C290" s="10"/>
      <c r="D290" s="10"/>
      <c r="E290" s="10"/>
      <c r="F290" s="187"/>
      <c r="G290" s="188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</row>
    <row r="291" ht="12.75" customHeight="1">
      <c r="A291" s="10"/>
      <c r="B291" s="10"/>
      <c r="C291" s="10"/>
      <c r="D291" s="10"/>
      <c r="E291" s="10"/>
      <c r="F291" s="187"/>
      <c r="G291" s="188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</row>
    <row r="292" ht="12.75" customHeight="1">
      <c r="A292" s="10"/>
      <c r="B292" s="10"/>
      <c r="C292" s="10"/>
      <c r="D292" s="10"/>
      <c r="E292" s="10"/>
      <c r="F292" s="187"/>
      <c r="G292" s="188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</row>
    <row r="293" ht="12.75" customHeight="1">
      <c r="A293" s="10"/>
      <c r="B293" s="10"/>
      <c r="C293" s="10"/>
      <c r="D293" s="10"/>
      <c r="E293" s="10"/>
      <c r="F293" s="187"/>
      <c r="G293" s="188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</row>
    <row r="294" ht="12.75" customHeight="1">
      <c r="A294" s="10"/>
      <c r="B294" s="10"/>
      <c r="C294" s="10"/>
      <c r="D294" s="10"/>
      <c r="E294" s="10"/>
      <c r="F294" s="187"/>
      <c r="G294" s="188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</row>
    <row r="295" ht="12.75" customHeight="1">
      <c r="A295" s="10"/>
      <c r="B295" s="10"/>
      <c r="C295" s="10"/>
      <c r="D295" s="10"/>
      <c r="E295" s="10"/>
      <c r="F295" s="187"/>
      <c r="G295" s="188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</row>
    <row r="296" ht="12.75" customHeight="1">
      <c r="A296" s="10"/>
      <c r="B296" s="10"/>
      <c r="C296" s="10"/>
      <c r="D296" s="10"/>
      <c r="E296" s="10"/>
      <c r="F296" s="187"/>
      <c r="G296" s="188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</row>
    <row r="297" ht="12.75" customHeight="1">
      <c r="A297" s="10"/>
      <c r="B297" s="10"/>
      <c r="C297" s="10"/>
      <c r="D297" s="10"/>
      <c r="E297" s="10"/>
      <c r="F297" s="187"/>
      <c r="G297" s="188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</row>
    <row r="298" ht="12.75" customHeight="1">
      <c r="A298" s="10"/>
      <c r="B298" s="10"/>
      <c r="C298" s="10"/>
      <c r="D298" s="10"/>
      <c r="E298" s="10"/>
      <c r="F298" s="187"/>
      <c r="G298" s="188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</row>
    <row r="299" ht="12.75" customHeight="1">
      <c r="A299" s="10"/>
      <c r="B299" s="10"/>
      <c r="C299" s="10"/>
      <c r="D299" s="10"/>
      <c r="E299" s="10"/>
      <c r="F299" s="187"/>
      <c r="G299" s="188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</row>
    <row r="300" ht="12.75" customHeight="1">
      <c r="A300" s="10"/>
      <c r="B300" s="10"/>
      <c r="C300" s="10"/>
      <c r="D300" s="10"/>
      <c r="E300" s="10"/>
      <c r="F300" s="187"/>
      <c r="G300" s="188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</row>
    <row r="301" ht="12.75" customHeight="1">
      <c r="A301" s="10"/>
      <c r="B301" s="10"/>
      <c r="C301" s="10"/>
      <c r="D301" s="10"/>
      <c r="E301" s="10"/>
      <c r="F301" s="187"/>
      <c r="G301" s="188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</row>
    <row r="302" ht="12.75" customHeight="1">
      <c r="A302" s="10"/>
      <c r="B302" s="10"/>
      <c r="C302" s="10"/>
      <c r="D302" s="10"/>
      <c r="E302" s="10"/>
      <c r="F302" s="187"/>
      <c r="G302" s="188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</row>
    <row r="303" ht="12.75" customHeight="1">
      <c r="A303" s="10"/>
      <c r="B303" s="10"/>
      <c r="C303" s="10"/>
      <c r="D303" s="10"/>
      <c r="E303" s="10"/>
      <c r="F303" s="187"/>
      <c r="G303" s="188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</row>
    <row r="304" ht="12.75" customHeight="1">
      <c r="A304" s="10"/>
      <c r="B304" s="10"/>
      <c r="C304" s="10"/>
      <c r="D304" s="10"/>
      <c r="E304" s="10"/>
      <c r="F304" s="187"/>
      <c r="G304" s="188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</row>
    <row r="305" ht="12.75" customHeight="1">
      <c r="A305" s="10"/>
      <c r="B305" s="10"/>
      <c r="C305" s="10"/>
      <c r="D305" s="10"/>
      <c r="E305" s="10"/>
      <c r="F305" s="187"/>
      <c r="G305" s="188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</row>
    <row r="306" ht="12.75" customHeight="1">
      <c r="A306" s="10"/>
      <c r="B306" s="10"/>
      <c r="C306" s="10"/>
      <c r="D306" s="10"/>
      <c r="E306" s="10"/>
      <c r="F306" s="187"/>
      <c r="G306" s="188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</row>
    <row r="307" ht="12.75" customHeight="1">
      <c r="A307" s="10"/>
      <c r="B307" s="10"/>
      <c r="C307" s="10"/>
      <c r="D307" s="10"/>
      <c r="E307" s="10"/>
      <c r="F307" s="187"/>
      <c r="G307" s="188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</row>
    <row r="308" ht="12.75" customHeight="1">
      <c r="A308" s="10"/>
      <c r="B308" s="10"/>
      <c r="C308" s="10"/>
      <c r="D308" s="10"/>
      <c r="E308" s="10"/>
      <c r="F308" s="187"/>
      <c r="G308" s="188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</row>
    <row r="309" ht="12.75" customHeight="1">
      <c r="A309" s="10"/>
      <c r="B309" s="10"/>
      <c r="C309" s="10"/>
      <c r="D309" s="10"/>
      <c r="E309" s="10"/>
      <c r="F309" s="187"/>
      <c r="G309" s="188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</row>
    <row r="310" ht="12.75" customHeight="1">
      <c r="A310" s="10"/>
      <c r="B310" s="10"/>
      <c r="C310" s="10"/>
      <c r="D310" s="10"/>
      <c r="E310" s="10"/>
      <c r="F310" s="187"/>
      <c r="G310" s="188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</row>
    <row r="311" ht="12.75" customHeight="1">
      <c r="A311" s="10"/>
      <c r="B311" s="10"/>
      <c r="C311" s="10"/>
      <c r="D311" s="10"/>
      <c r="E311" s="10"/>
      <c r="F311" s="187"/>
      <c r="G311" s="188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</row>
    <row r="312" ht="12.75" customHeight="1">
      <c r="A312" s="10"/>
      <c r="B312" s="10"/>
      <c r="C312" s="10"/>
      <c r="D312" s="10"/>
      <c r="E312" s="10"/>
      <c r="F312" s="187"/>
      <c r="G312" s="188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</row>
    <row r="313" ht="12.75" customHeight="1">
      <c r="A313" s="10"/>
      <c r="B313" s="10"/>
      <c r="C313" s="10"/>
      <c r="D313" s="10"/>
      <c r="E313" s="10"/>
      <c r="F313" s="187"/>
      <c r="G313" s="188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</row>
    <row r="314" ht="12.75" customHeight="1">
      <c r="A314" s="10"/>
      <c r="B314" s="10"/>
      <c r="C314" s="10"/>
      <c r="D314" s="10"/>
      <c r="E314" s="10"/>
      <c r="F314" s="187"/>
      <c r="G314" s="188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</row>
    <row r="315" ht="12.75" customHeight="1">
      <c r="A315" s="10"/>
      <c r="B315" s="10"/>
      <c r="C315" s="10"/>
      <c r="D315" s="10"/>
      <c r="E315" s="10"/>
      <c r="F315" s="187"/>
      <c r="G315" s="188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</row>
    <row r="316" ht="12.75" customHeight="1">
      <c r="A316" s="10"/>
      <c r="B316" s="10"/>
      <c r="C316" s="10"/>
      <c r="D316" s="10"/>
      <c r="E316" s="10"/>
      <c r="F316" s="187"/>
      <c r="G316" s="188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</row>
    <row r="317" ht="12.75" customHeight="1">
      <c r="A317" s="10"/>
      <c r="B317" s="10"/>
      <c r="C317" s="10"/>
      <c r="D317" s="10"/>
      <c r="E317" s="10"/>
      <c r="F317" s="187"/>
      <c r="G317" s="188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</row>
    <row r="318" ht="12.75" customHeight="1">
      <c r="A318" s="10"/>
      <c r="B318" s="10"/>
      <c r="C318" s="10"/>
      <c r="D318" s="10"/>
      <c r="E318" s="10"/>
      <c r="F318" s="187"/>
      <c r="G318" s="188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</row>
    <row r="319" ht="12.75" customHeight="1">
      <c r="A319" s="10"/>
      <c r="B319" s="10"/>
      <c r="C319" s="10"/>
      <c r="D319" s="10"/>
      <c r="E319" s="10"/>
      <c r="F319" s="187"/>
      <c r="G319" s="188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</row>
    <row r="320" ht="12.75" customHeight="1">
      <c r="A320" s="10"/>
      <c r="B320" s="10"/>
      <c r="C320" s="10"/>
      <c r="D320" s="10"/>
      <c r="E320" s="10"/>
      <c r="F320" s="187"/>
      <c r="G320" s="188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</row>
    <row r="321" ht="12.75" customHeight="1">
      <c r="A321" s="10"/>
      <c r="B321" s="10"/>
      <c r="C321" s="10"/>
      <c r="D321" s="10"/>
      <c r="E321" s="10"/>
      <c r="F321" s="187"/>
      <c r="G321" s="188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</row>
    <row r="322" ht="12.75" customHeight="1">
      <c r="A322" s="10"/>
      <c r="B322" s="10"/>
      <c r="C322" s="10"/>
      <c r="D322" s="10"/>
      <c r="E322" s="10"/>
      <c r="F322" s="187"/>
      <c r="G322" s="188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</row>
    <row r="323" ht="12.75" customHeight="1">
      <c r="A323" s="10"/>
      <c r="B323" s="10"/>
      <c r="C323" s="10"/>
      <c r="D323" s="10"/>
      <c r="E323" s="10"/>
      <c r="F323" s="187"/>
      <c r="G323" s="188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</row>
    <row r="324" ht="12.75" customHeight="1">
      <c r="A324" s="10"/>
      <c r="B324" s="10"/>
      <c r="C324" s="10"/>
      <c r="D324" s="10"/>
      <c r="E324" s="10"/>
      <c r="F324" s="187"/>
      <c r="G324" s="188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</row>
    <row r="325" ht="12.75" customHeight="1">
      <c r="A325" s="10"/>
      <c r="B325" s="10"/>
      <c r="C325" s="10"/>
      <c r="D325" s="10"/>
      <c r="E325" s="10"/>
      <c r="F325" s="187"/>
      <c r="G325" s="188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</row>
    <row r="326" ht="12.75" customHeight="1">
      <c r="A326" s="10"/>
      <c r="B326" s="10"/>
      <c r="C326" s="10"/>
      <c r="D326" s="10"/>
      <c r="E326" s="10"/>
      <c r="F326" s="187"/>
      <c r="G326" s="188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</row>
    <row r="327" ht="12.75" customHeight="1">
      <c r="A327" s="10"/>
      <c r="B327" s="10"/>
      <c r="C327" s="10"/>
      <c r="D327" s="10"/>
      <c r="E327" s="10"/>
      <c r="F327" s="187"/>
      <c r="G327" s="188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</row>
    <row r="328" ht="12.75" customHeight="1">
      <c r="A328" s="10"/>
      <c r="B328" s="10"/>
      <c r="C328" s="10"/>
      <c r="D328" s="10"/>
      <c r="E328" s="10"/>
      <c r="F328" s="187"/>
      <c r="G328" s="188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</row>
    <row r="329" ht="12.75" customHeight="1">
      <c r="A329" s="10"/>
      <c r="B329" s="10"/>
      <c r="C329" s="10"/>
      <c r="D329" s="10"/>
      <c r="E329" s="10"/>
      <c r="F329" s="187"/>
      <c r="G329" s="188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</row>
    <row r="330" ht="12.75" customHeight="1">
      <c r="A330" s="10"/>
      <c r="B330" s="10"/>
      <c r="C330" s="10"/>
      <c r="D330" s="10"/>
      <c r="E330" s="10"/>
      <c r="F330" s="187"/>
      <c r="G330" s="188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</row>
    <row r="331" ht="12.75" customHeight="1">
      <c r="A331" s="10"/>
      <c r="B331" s="10"/>
      <c r="C331" s="10"/>
      <c r="D331" s="10"/>
      <c r="E331" s="10"/>
      <c r="F331" s="187"/>
      <c r="G331" s="188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</row>
    <row r="332" ht="12.75" customHeight="1">
      <c r="A332" s="10"/>
      <c r="B332" s="10"/>
      <c r="C332" s="10"/>
      <c r="D332" s="10"/>
      <c r="E332" s="10"/>
      <c r="F332" s="187"/>
      <c r="G332" s="188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</row>
    <row r="333" ht="12.75" customHeight="1">
      <c r="A333" s="10"/>
      <c r="B333" s="10"/>
      <c r="C333" s="10"/>
      <c r="D333" s="10"/>
      <c r="E333" s="10"/>
      <c r="F333" s="187"/>
      <c r="G333" s="188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</row>
    <row r="334" ht="12.75" customHeight="1">
      <c r="A334" s="10"/>
      <c r="B334" s="10"/>
      <c r="C334" s="10"/>
      <c r="D334" s="10"/>
      <c r="E334" s="10"/>
      <c r="F334" s="187"/>
      <c r="G334" s="188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</row>
    <row r="335" ht="12.75" customHeight="1">
      <c r="A335" s="10"/>
      <c r="B335" s="10"/>
      <c r="C335" s="10"/>
      <c r="D335" s="10"/>
      <c r="E335" s="10"/>
      <c r="F335" s="187"/>
      <c r="G335" s="188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</row>
    <row r="336" ht="12.75" customHeight="1">
      <c r="A336" s="10"/>
      <c r="B336" s="10"/>
      <c r="C336" s="10"/>
      <c r="D336" s="10"/>
      <c r="E336" s="10"/>
      <c r="F336" s="187"/>
      <c r="G336" s="188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</row>
    <row r="337" ht="12.75" customHeight="1">
      <c r="A337" s="10"/>
      <c r="B337" s="10"/>
      <c r="C337" s="10"/>
      <c r="D337" s="10"/>
      <c r="E337" s="10"/>
      <c r="F337" s="187"/>
      <c r="G337" s="188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</row>
    <row r="338" ht="12.75" customHeight="1">
      <c r="A338" s="10"/>
      <c r="B338" s="10"/>
      <c r="C338" s="10"/>
      <c r="D338" s="10"/>
      <c r="E338" s="10"/>
      <c r="F338" s="187"/>
      <c r="G338" s="188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</row>
    <row r="339" ht="12.75" customHeight="1">
      <c r="A339" s="10"/>
      <c r="B339" s="10"/>
      <c r="C339" s="10"/>
      <c r="D339" s="10"/>
      <c r="E339" s="10"/>
      <c r="F339" s="187"/>
      <c r="G339" s="188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</row>
    <row r="340" ht="12.75" customHeight="1">
      <c r="A340" s="10"/>
      <c r="B340" s="10"/>
      <c r="C340" s="10"/>
      <c r="D340" s="10"/>
      <c r="E340" s="10"/>
      <c r="F340" s="187"/>
      <c r="G340" s="188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</row>
    <row r="341" ht="12.75" customHeight="1">
      <c r="A341" s="10"/>
      <c r="B341" s="10"/>
      <c r="C341" s="10"/>
      <c r="D341" s="10"/>
      <c r="E341" s="10"/>
      <c r="F341" s="187"/>
      <c r="G341" s="188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</row>
    <row r="342" ht="12.75" customHeight="1">
      <c r="A342" s="10"/>
      <c r="B342" s="10"/>
      <c r="C342" s="10"/>
      <c r="D342" s="10"/>
      <c r="E342" s="10"/>
      <c r="F342" s="187"/>
      <c r="G342" s="188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</row>
    <row r="343" ht="12.75" customHeight="1">
      <c r="A343" s="10"/>
      <c r="B343" s="10"/>
      <c r="C343" s="10"/>
      <c r="D343" s="10"/>
      <c r="E343" s="10"/>
      <c r="F343" s="187"/>
      <c r="G343" s="188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</row>
    <row r="344" ht="12.75" customHeight="1">
      <c r="A344" s="10"/>
      <c r="B344" s="10"/>
      <c r="C344" s="10"/>
      <c r="D344" s="10"/>
      <c r="E344" s="10"/>
      <c r="F344" s="187"/>
      <c r="G344" s="188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</row>
    <row r="345" ht="12.75" customHeight="1">
      <c r="A345" s="10"/>
      <c r="B345" s="10"/>
      <c r="C345" s="10"/>
      <c r="D345" s="10"/>
      <c r="E345" s="10"/>
      <c r="F345" s="187"/>
      <c r="G345" s="188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</row>
    <row r="346" ht="12.75" customHeight="1">
      <c r="A346" s="10"/>
      <c r="B346" s="10"/>
      <c r="C346" s="10"/>
      <c r="D346" s="10"/>
      <c r="E346" s="10"/>
      <c r="F346" s="187"/>
      <c r="G346" s="188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</row>
    <row r="347" ht="12.75" customHeight="1">
      <c r="A347" s="10"/>
      <c r="B347" s="10"/>
      <c r="C347" s="10"/>
      <c r="D347" s="10"/>
      <c r="E347" s="10"/>
      <c r="F347" s="187"/>
      <c r="G347" s="188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</row>
    <row r="348" ht="12.75" customHeight="1">
      <c r="A348" s="10"/>
      <c r="B348" s="10"/>
      <c r="C348" s="10"/>
      <c r="D348" s="10"/>
      <c r="E348" s="10"/>
      <c r="F348" s="187"/>
      <c r="G348" s="188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</row>
    <row r="349" ht="12.75" customHeight="1">
      <c r="A349" s="10"/>
      <c r="B349" s="10"/>
      <c r="C349" s="10"/>
      <c r="D349" s="10"/>
      <c r="E349" s="10"/>
      <c r="F349" s="187"/>
      <c r="G349" s="188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</row>
    <row r="350" ht="12.75" customHeight="1">
      <c r="A350" s="10"/>
      <c r="B350" s="10"/>
      <c r="C350" s="10"/>
      <c r="D350" s="10"/>
      <c r="E350" s="10"/>
      <c r="F350" s="187"/>
      <c r="G350" s="188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</row>
    <row r="351" ht="12.75" customHeight="1">
      <c r="A351" s="10"/>
      <c r="B351" s="10"/>
      <c r="C351" s="10"/>
      <c r="D351" s="10"/>
      <c r="E351" s="10"/>
      <c r="F351" s="187"/>
      <c r="G351" s="188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</row>
    <row r="352" ht="12.75" customHeight="1">
      <c r="A352" s="10"/>
      <c r="B352" s="10"/>
      <c r="C352" s="10"/>
      <c r="D352" s="10"/>
      <c r="E352" s="10"/>
      <c r="F352" s="187"/>
      <c r="G352" s="188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</row>
    <row r="353" ht="12.75" customHeight="1">
      <c r="A353" s="10"/>
      <c r="B353" s="10"/>
      <c r="C353" s="10"/>
      <c r="D353" s="10"/>
      <c r="E353" s="10"/>
      <c r="F353" s="187"/>
      <c r="G353" s="188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</row>
    <row r="354" ht="12.75" customHeight="1">
      <c r="A354" s="10"/>
      <c r="B354" s="10"/>
      <c r="C354" s="10"/>
      <c r="D354" s="10"/>
      <c r="E354" s="10"/>
      <c r="F354" s="187"/>
      <c r="G354" s="188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</row>
    <row r="355" ht="12.75" customHeight="1">
      <c r="A355" s="10"/>
      <c r="B355" s="10"/>
      <c r="C355" s="10"/>
      <c r="D355" s="10"/>
      <c r="E355" s="10"/>
      <c r="F355" s="187"/>
      <c r="G355" s="188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</row>
    <row r="356" ht="12.75" customHeight="1">
      <c r="A356" s="10"/>
      <c r="B356" s="10"/>
      <c r="C356" s="10"/>
      <c r="D356" s="10"/>
      <c r="E356" s="10"/>
      <c r="F356" s="187"/>
      <c r="G356" s="188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</row>
    <row r="357" ht="12.75" customHeight="1">
      <c r="A357" s="10"/>
      <c r="B357" s="10"/>
      <c r="C357" s="10"/>
      <c r="D357" s="10"/>
      <c r="E357" s="10"/>
      <c r="F357" s="187"/>
      <c r="G357" s="188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</row>
    <row r="358" ht="12.75" customHeight="1">
      <c r="A358" s="10"/>
      <c r="B358" s="10"/>
      <c r="C358" s="10"/>
      <c r="D358" s="10"/>
      <c r="E358" s="10"/>
      <c r="F358" s="187"/>
      <c r="G358" s="188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</row>
    <row r="359" ht="12.75" customHeight="1">
      <c r="A359" s="10"/>
      <c r="B359" s="10"/>
      <c r="C359" s="10"/>
      <c r="D359" s="10"/>
      <c r="E359" s="10"/>
      <c r="F359" s="187"/>
      <c r="G359" s="188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</row>
    <row r="360" ht="12.75" customHeight="1">
      <c r="A360" s="10"/>
      <c r="B360" s="10"/>
      <c r="C360" s="10"/>
      <c r="D360" s="10"/>
      <c r="E360" s="10"/>
      <c r="F360" s="187"/>
      <c r="G360" s="188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</row>
    <row r="361" ht="12.75" customHeight="1">
      <c r="A361" s="10"/>
      <c r="B361" s="10"/>
      <c r="C361" s="10"/>
      <c r="D361" s="10"/>
      <c r="E361" s="10"/>
      <c r="F361" s="187"/>
      <c r="G361" s="188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</row>
    <row r="362" ht="12.75" customHeight="1">
      <c r="A362" s="10"/>
      <c r="B362" s="10"/>
      <c r="C362" s="10"/>
      <c r="D362" s="10"/>
      <c r="E362" s="10"/>
      <c r="F362" s="187"/>
      <c r="G362" s="188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</row>
    <row r="363" ht="12.75" customHeight="1">
      <c r="A363" s="10"/>
      <c r="B363" s="10"/>
      <c r="C363" s="10"/>
      <c r="D363" s="10"/>
      <c r="E363" s="10"/>
      <c r="F363" s="187"/>
      <c r="G363" s="188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</row>
    <row r="364" ht="12.75" customHeight="1">
      <c r="A364" s="10"/>
      <c r="B364" s="10"/>
      <c r="C364" s="10"/>
      <c r="D364" s="10"/>
      <c r="E364" s="10"/>
      <c r="F364" s="187"/>
      <c r="G364" s="188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</row>
    <row r="365" ht="12.75" customHeight="1">
      <c r="A365" s="10"/>
      <c r="B365" s="10"/>
      <c r="C365" s="10"/>
      <c r="D365" s="10"/>
      <c r="E365" s="10"/>
      <c r="F365" s="187"/>
      <c r="G365" s="188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</row>
    <row r="366" ht="12.75" customHeight="1">
      <c r="A366" s="10"/>
      <c r="B366" s="10"/>
      <c r="C366" s="10"/>
      <c r="D366" s="10"/>
      <c r="E366" s="10"/>
      <c r="F366" s="187"/>
      <c r="G366" s="188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</row>
    <row r="367" ht="12.75" customHeight="1">
      <c r="A367" s="10"/>
      <c r="B367" s="10"/>
      <c r="C367" s="10"/>
      <c r="D367" s="10"/>
      <c r="E367" s="10"/>
      <c r="F367" s="187"/>
      <c r="G367" s="188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</row>
    <row r="368" ht="12.75" customHeight="1">
      <c r="A368" s="10"/>
      <c r="B368" s="10"/>
      <c r="C368" s="10"/>
      <c r="D368" s="10"/>
      <c r="E368" s="10"/>
      <c r="F368" s="187"/>
      <c r="G368" s="188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</row>
    <row r="369" ht="12.75" customHeight="1">
      <c r="A369" s="10"/>
      <c r="B369" s="10"/>
      <c r="C369" s="10"/>
      <c r="D369" s="10"/>
      <c r="E369" s="10"/>
      <c r="F369" s="187"/>
      <c r="G369" s="188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</row>
    <row r="370" ht="12.75" customHeight="1">
      <c r="A370" s="10"/>
      <c r="B370" s="10"/>
      <c r="C370" s="10"/>
      <c r="D370" s="10"/>
      <c r="E370" s="10"/>
      <c r="F370" s="187"/>
      <c r="G370" s="188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</row>
    <row r="371" ht="12.75" customHeight="1">
      <c r="A371" s="10"/>
      <c r="B371" s="10"/>
      <c r="C371" s="10"/>
      <c r="D371" s="10"/>
      <c r="E371" s="10"/>
      <c r="F371" s="187"/>
      <c r="G371" s="188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</row>
    <row r="372" ht="12.75" customHeight="1">
      <c r="A372" s="10"/>
      <c r="B372" s="10"/>
      <c r="C372" s="10"/>
      <c r="D372" s="10"/>
      <c r="E372" s="10"/>
      <c r="F372" s="187"/>
      <c r="G372" s="188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</row>
    <row r="373" ht="12.75" customHeight="1">
      <c r="A373" s="10"/>
      <c r="B373" s="10"/>
      <c r="C373" s="10"/>
      <c r="D373" s="10"/>
      <c r="E373" s="10"/>
      <c r="F373" s="187"/>
      <c r="G373" s="188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</row>
    <row r="374" ht="12.75" customHeight="1">
      <c r="A374" s="10"/>
      <c r="B374" s="10"/>
      <c r="C374" s="10"/>
      <c r="D374" s="10"/>
      <c r="E374" s="10"/>
      <c r="F374" s="187"/>
      <c r="G374" s="188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</row>
    <row r="375" ht="12.75" customHeight="1">
      <c r="A375" s="10"/>
      <c r="B375" s="10"/>
      <c r="C375" s="10"/>
      <c r="D375" s="10"/>
      <c r="E375" s="10"/>
      <c r="F375" s="187"/>
      <c r="G375" s="188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</row>
    <row r="376" ht="12.75" customHeight="1">
      <c r="A376" s="10"/>
      <c r="B376" s="10"/>
      <c r="C376" s="10"/>
      <c r="D376" s="10"/>
      <c r="E376" s="10"/>
      <c r="F376" s="187"/>
      <c r="G376" s="188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</row>
    <row r="377" ht="12.75" customHeight="1">
      <c r="A377" s="10"/>
      <c r="B377" s="10"/>
      <c r="C377" s="10"/>
      <c r="D377" s="10"/>
      <c r="E377" s="10"/>
      <c r="F377" s="187"/>
      <c r="G377" s="188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</row>
    <row r="378" ht="12.75" customHeight="1">
      <c r="A378" s="10"/>
      <c r="B378" s="10"/>
      <c r="C378" s="10"/>
      <c r="D378" s="10"/>
      <c r="E378" s="10"/>
      <c r="F378" s="187"/>
      <c r="G378" s="188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</row>
    <row r="379" ht="12.75" customHeight="1">
      <c r="A379" s="10"/>
      <c r="B379" s="10"/>
      <c r="C379" s="10"/>
      <c r="D379" s="10"/>
      <c r="E379" s="10"/>
      <c r="F379" s="187"/>
      <c r="G379" s="188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</row>
    <row r="380" ht="12.75" customHeight="1">
      <c r="A380" s="10"/>
      <c r="B380" s="10"/>
      <c r="C380" s="10"/>
      <c r="D380" s="10"/>
      <c r="E380" s="10"/>
      <c r="F380" s="187"/>
      <c r="G380" s="188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</row>
    <row r="381" ht="12.75" customHeight="1">
      <c r="A381" s="10"/>
      <c r="B381" s="10"/>
      <c r="C381" s="10"/>
      <c r="D381" s="10"/>
      <c r="E381" s="10"/>
      <c r="F381" s="187"/>
      <c r="G381" s="188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</row>
    <row r="382" ht="12.75" customHeight="1">
      <c r="A382" s="10"/>
      <c r="B382" s="10"/>
      <c r="C382" s="10"/>
      <c r="D382" s="10"/>
      <c r="E382" s="10"/>
      <c r="F382" s="187"/>
      <c r="G382" s="188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</row>
    <row r="383" ht="12.75" customHeight="1">
      <c r="A383" s="10"/>
      <c r="B383" s="10"/>
      <c r="C383" s="10"/>
      <c r="D383" s="10"/>
      <c r="E383" s="10"/>
      <c r="F383" s="187"/>
      <c r="G383" s="188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</row>
    <row r="384" ht="12.75" customHeight="1">
      <c r="A384" s="10"/>
      <c r="B384" s="10"/>
      <c r="C384" s="10"/>
      <c r="D384" s="10"/>
      <c r="E384" s="10"/>
      <c r="F384" s="187"/>
      <c r="G384" s="188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</row>
    <row r="385" ht="12.75" customHeight="1">
      <c r="A385" s="10"/>
      <c r="B385" s="10"/>
      <c r="C385" s="10"/>
      <c r="D385" s="10"/>
      <c r="E385" s="10"/>
      <c r="F385" s="187"/>
      <c r="G385" s="188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</row>
    <row r="386" ht="12.75" customHeight="1">
      <c r="A386" s="10"/>
      <c r="B386" s="10"/>
      <c r="C386" s="10"/>
      <c r="D386" s="10"/>
      <c r="E386" s="10"/>
      <c r="F386" s="187"/>
      <c r="G386" s="188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</row>
    <row r="387" ht="12.75" customHeight="1">
      <c r="A387" s="10"/>
      <c r="B387" s="10"/>
      <c r="C387" s="10"/>
      <c r="D387" s="10"/>
      <c r="E387" s="10"/>
      <c r="F387" s="187"/>
      <c r="G387" s="188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</row>
    <row r="388" ht="12.75" customHeight="1">
      <c r="A388" s="10"/>
      <c r="B388" s="10"/>
      <c r="C388" s="10"/>
      <c r="D388" s="10"/>
      <c r="E388" s="10"/>
      <c r="F388" s="187"/>
      <c r="G388" s="188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</row>
    <row r="389" ht="12.75" customHeight="1">
      <c r="A389" s="10"/>
      <c r="B389" s="10"/>
      <c r="C389" s="10"/>
      <c r="D389" s="10"/>
      <c r="E389" s="10"/>
      <c r="F389" s="187"/>
      <c r="G389" s="188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</row>
    <row r="390" ht="12.75" customHeight="1">
      <c r="A390" s="10"/>
      <c r="B390" s="10"/>
      <c r="C390" s="10"/>
      <c r="D390" s="10"/>
      <c r="E390" s="10"/>
      <c r="F390" s="187"/>
      <c r="G390" s="188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</row>
    <row r="391" ht="12.75" customHeight="1">
      <c r="A391" s="10"/>
      <c r="B391" s="10"/>
      <c r="C391" s="10"/>
      <c r="D391" s="10"/>
      <c r="E391" s="10"/>
      <c r="F391" s="187"/>
      <c r="G391" s="188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</row>
    <row r="392" ht="12.75" customHeight="1">
      <c r="A392" s="10"/>
      <c r="B392" s="10"/>
      <c r="C392" s="10"/>
      <c r="D392" s="10"/>
      <c r="E392" s="10"/>
      <c r="F392" s="187"/>
      <c r="G392" s="188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</row>
    <row r="393" ht="12.75" customHeight="1">
      <c r="A393" s="10"/>
      <c r="B393" s="10"/>
      <c r="C393" s="10"/>
      <c r="D393" s="10"/>
      <c r="E393" s="10"/>
      <c r="F393" s="187"/>
      <c r="G393" s="188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</row>
    <row r="394" ht="12.75" customHeight="1">
      <c r="A394" s="10"/>
      <c r="B394" s="10"/>
      <c r="C394" s="10"/>
      <c r="D394" s="10"/>
      <c r="E394" s="10"/>
      <c r="F394" s="187"/>
      <c r="G394" s="188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</row>
    <row r="395" ht="12.75" customHeight="1">
      <c r="A395" s="10"/>
      <c r="B395" s="10"/>
      <c r="C395" s="10"/>
      <c r="D395" s="10"/>
      <c r="E395" s="10"/>
      <c r="F395" s="187"/>
      <c r="G395" s="188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</row>
    <row r="396" ht="12.75" customHeight="1">
      <c r="A396" s="10"/>
      <c r="B396" s="10"/>
      <c r="C396" s="10"/>
      <c r="D396" s="10"/>
      <c r="E396" s="10"/>
      <c r="F396" s="187"/>
      <c r="G396" s="188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</row>
    <row r="397" ht="12.75" customHeight="1">
      <c r="A397" s="10"/>
      <c r="B397" s="10"/>
      <c r="C397" s="10"/>
      <c r="D397" s="10"/>
      <c r="E397" s="10"/>
      <c r="F397" s="187"/>
      <c r="G397" s="188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</row>
    <row r="398" ht="12.75" customHeight="1">
      <c r="A398" s="10"/>
      <c r="B398" s="10"/>
      <c r="C398" s="10"/>
      <c r="D398" s="10"/>
      <c r="E398" s="10"/>
      <c r="F398" s="187"/>
      <c r="G398" s="188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</row>
    <row r="399" ht="12.75" customHeight="1">
      <c r="A399" s="10"/>
      <c r="B399" s="10"/>
      <c r="C399" s="10"/>
      <c r="D399" s="10"/>
      <c r="E399" s="10"/>
      <c r="F399" s="187"/>
      <c r="G399" s="188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</row>
    <row r="400" ht="12.75" customHeight="1">
      <c r="A400" s="10"/>
      <c r="B400" s="10"/>
      <c r="C400" s="10"/>
      <c r="D400" s="10"/>
      <c r="E400" s="10"/>
      <c r="F400" s="187"/>
      <c r="G400" s="188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</row>
    <row r="401" ht="12.75" customHeight="1">
      <c r="A401" s="10"/>
      <c r="B401" s="10"/>
      <c r="C401" s="10"/>
      <c r="D401" s="10"/>
      <c r="E401" s="10"/>
      <c r="F401" s="187"/>
      <c r="G401" s="188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</row>
    <row r="402" ht="12.75" customHeight="1">
      <c r="A402" s="10"/>
      <c r="B402" s="10"/>
      <c r="C402" s="10"/>
      <c r="D402" s="10"/>
      <c r="E402" s="10"/>
      <c r="F402" s="187"/>
      <c r="G402" s="188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</row>
    <row r="403" ht="12.75" customHeight="1">
      <c r="A403" s="10"/>
      <c r="B403" s="10"/>
      <c r="C403" s="10"/>
      <c r="D403" s="10"/>
      <c r="E403" s="10"/>
      <c r="F403" s="187"/>
      <c r="G403" s="188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</row>
    <row r="404" ht="12.75" customHeight="1">
      <c r="A404" s="10"/>
      <c r="B404" s="10"/>
      <c r="C404" s="10"/>
      <c r="D404" s="10"/>
      <c r="E404" s="10"/>
      <c r="F404" s="187"/>
      <c r="G404" s="188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</row>
    <row r="405" ht="12.75" customHeight="1">
      <c r="A405" s="10"/>
      <c r="B405" s="10"/>
      <c r="C405" s="10"/>
      <c r="D405" s="10"/>
      <c r="E405" s="10"/>
      <c r="F405" s="187"/>
      <c r="G405" s="188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</row>
    <row r="406" ht="12.75" customHeight="1">
      <c r="A406" s="10"/>
      <c r="B406" s="10"/>
      <c r="C406" s="10"/>
      <c r="D406" s="10"/>
      <c r="E406" s="10"/>
      <c r="F406" s="187"/>
      <c r="G406" s="188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</row>
    <row r="407" ht="12.75" customHeight="1">
      <c r="A407" s="10"/>
      <c r="B407" s="10"/>
      <c r="C407" s="10"/>
      <c r="D407" s="10"/>
      <c r="E407" s="10"/>
      <c r="F407" s="187"/>
      <c r="G407" s="188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</row>
    <row r="408" ht="12.75" customHeight="1">
      <c r="A408" s="10"/>
      <c r="B408" s="10"/>
      <c r="C408" s="10"/>
      <c r="D408" s="10"/>
      <c r="E408" s="10"/>
      <c r="F408" s="187"/>
      <c r="G408" s="188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</row>
    <row r="409" ht="12.75" customHeight="1">
      <c r="A409" s="10"/>
      <c r="B409" s="10"/>
      <c r="C409" s="10"/>
      <c r="D409" s="10"/>
      <c r="E409" s="10"/>
      <c r="F409" s="187"/>
      <c r="G409" s="188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</row>
    <row r="410" ht="12.75" customHeight="1">
      <c r="A410" s="10"/>
      <c r="B410" s="10"/>
      <c r="C410" s="10"/>
      <c r="D410" s="10"/>
      <c r="E410" s="10"/>
      <c r="F410" s="187"/>
      <c r="G410" s="188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</row>
    <row r="411" ht="12.75" customHeight="1">
      <c r="A411" s="10"/>
      <c r="B411" s="10"/>
      <c r="C411" s="10"/>
      <c r="D411" s="10"/>
      <c r="E411" s="10"/>
      <c r="F411" s="187"/>
      <c r="G411" s="188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</row>
    <row r="412" ht="12.75" customHeight="1">
      <c r="A412" s="10"/>
      <c r="B412" s="10"/>
      <c r="C412" s="10"/>
      <c r="D412" s="10"/>
      <c r="E412" s="10"/>
      <c r="F412" s="187"/>
      <c r="G412" s="188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</row>
    <row r="413" ht="12.75" customHeight="1">
      <c r="A413" s="10"/>
      <c r="B413" s="10"/>
      <c r="C413" s="10"/>
      <c r="D413" s="10"/>
      <c r="E413" s="10"/>
      <c r="F413" s="187"/>
      <c r="G413" s="188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</row>
    <row r="414" ht="12.75" customHeight="1">
      <c r="A414" s="10"/>
      <c r="B414" s="10"/>
      <c r="C414" s="10"/>
      <c r="D414" s="10"/>
      <c r="E414" s="10"/>
      <c r="F414" s="187"/>
      <c r="G414" s="188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</row>
    <row r="415" ht="12.75" customHeight="1">
      <c r="A415" s="10"/>
      <c r="B415" s="10"/>
      <c r="C415" s="10"/>
      <c r="D415" s="10"/>
      <c r="E415" s="10"/>
      <c r="F415" s="187"/>
      <c r="G415" s="188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</row>
    <row r="416" ht="12.75" customHeight="1">
      <c r="A416" s="10"/>
      <c r="B416" s="10"/>
      <c r="C416" s="10"/>
      <c r="D416" s="10"/>
      <c r="E416" s="10"/>
      <c r="F416" s="187"/>
      <c r="G416" s="188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</row>
    <row r="417" ht="12.75" customHeight="1">
      <c r="A417" s="10"/>
      <c r="B417" s="10"/>
      <c r="C417" s="10"/>
      <c r="D417" s="10"/>
      <c r="E417" s="10"/>
      <c r="F417" s="187"/>
      <c r="G417" s="188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</row>
    <row r="418" ht="12.75" customHeight="1">
      <c r="A418" s="10"/>
      <c r="B418" s="10"/>
      <c r="C418" s="10"/>
      <c r="D418" s="10"/>
      <c r="E418" s="10"/>
      <c r="F418" s="187"/>
      <c r="G418" s="188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</row>
    <row r="419" ht="12.75" customHeight="1">
      <c r="A419" s="10"/>
      <c r="B419" s="10"/>
      <c r="C419" s="10"/>
      <c r="D419" s="10"/>
      <c r="E419" s="10"/>
      <c r="F419" s="187"/>
      <c r="G419" s="188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</row>
    <row r="420" ht="12.75" customHeight="1">
      <c r="A420" s="10"/>
      <c r="B420" s="10"/>
      <c r="C420" s="10"/>
      <c r="D420" s="10"/>
      <c r="E420" s="10"/>
      <c r="F420" s="187"/>
      <c r="G420" s="188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</row>
    <row r="421" ht="12.75" customHeight="1">
      <c r="A421" s="10"/>
      <c r="B421" s="10"/>
      <c r="C421" s="10"/>
      <c r="D421" s="10"/>
      <c r="E421" s="10"/>
      <c r="F421" s="187"/>
      <c r="G421" s="188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</row>
    <row r="422" ht="12.75" customHeight="1">
      <c r="A422" s="10"/>
      <c r="B422" s="10"/>
      <c r="C422" s="10"/>
      <c r="D422" s="10"/>
      <c r="E422" s="10"/>
      <c r="F422" s="187"/>
      <c r="G422" s="188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</row>
    <row r="423" ht="12.75" customHeight="1">
      <c r="A423" s="10"/>
      <c r="B423" s="10"/>
      <c r="C423" s="10"/>
      <c r="D423" s="10"/>
      <c r="E423" s="10"/>
      <c r="F423" s="187"/>
      <c r="G423" s="188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</row>
    <row r="424" ht="12.75" customHeight="1">
      <c r="A424" s="10"/>
      <c r="B424" s="10"/>
      <c r="C424" s="10"/>
      <c r="D424" s="10"/>
      <c r="E424" s="10"/>
      <c r="F424" s="187"/>
      <c r="G424" s="188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</row>
    <row r="425" ht="12.75" customHeight="1">
      <c r="A425" s="10"/>
      <c r="B425" s="10"/>
      <c r="C425" s="10"/>
      <c r="D425" s="10"/>
      <c r="E425" s="10"/>
      <c r="F425" s="187"/>
      <c r="G425" s="188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</row>
    <row r="426" ht="12.75" customHeight="1">
      <c r="A426" s="10"/>
      <c r="B426" s="10"/>
      <c r="C426" s="10"/>
      <c r="D426" s="10"/>
      <c r="E426" s="10"/>
      <c r="F426" s="187"/>
      <c r="G426" s="188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</row>
    <row r="427" ht="12.75" customHeight="1">
      <c r="A427" s="10"/>
      <c r="B427" s="10"/>
      <c r="C427" s="10"/>
      <c r="D427" s="10"/>
      <c r="E427" s="10"/>
      <c r="F427" s="187"/>
      <c r="G427" s="188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</row>
    <row r="428" ht="12.75" customHeight="1">
      <c r="A428" s="10"/>
      <c r="B428" s="10"/>
      <c r="C428" s="10"/>
      <c r="D428" s="10"/>
      <c r="E428" s="10"/>
      <c r="F428" s="187"/>
      <c r="G428" s="188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</row>
    <row r="429" ht="12.75" customHeight="1">
      <c r="A429" s="10"/>
      <c r="B429" s="10"/>
      <c r="C429" s="10"/>
      <c r="D429" s="10"/>
      <c r="E429" s="10"/>
      <c r="F429" s="187"/>
      <c r="G429" s="188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</row>
    <row r="430" ht="12.75" customHeight="1">
      <c r="A430" s="10"/>
      <c r="B430" s="10"/>
      <c r="C430" s="10"/>
      <c r="D430" s="10"/>
      <c r="E430" s="10"/>
      <c r="F430" s="187"/>
      <c r="G430" s="188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</row>
    <row r="431" ht="12.75" customHeight="1">
      <c r="A431" s="10"/>
      <c r="B431" s="10"/>
      <c r="C431" s="10"/>
      <c r="D431" s="10"/>
      <c r="E431" s="10"/>
      <c r="F431" s="187"/>
      <c r="G431" s="188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</row>
    <row r="432" ht="12.75" customHeight="1">
      <c r="A432" s="10"/>
      <c r="B432" s="10"/>
      <c r="C432" s="10"/>
      <c r="D432" s="10"/>
      <c r="E432" s="10"/>
      <c r="F432" s="187"/>
      <c r="G432" s="188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</row>
    <row r="433" ht="12.75" customHeight="1">
      <c r="A433" s="10"/>
      <c r="B433" s="10"/>
      <c r="C433" s="10"/>
      <c r="D433" s="10"/>
      <c r="E433" s="10"/>
      <c r="F433" s="187"/>
      <c r="G433" s="188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</row>
    <row r="434" ht="12.75" customHeight="1">
      <c r="A434" s="10"/>
      <c r="B434" s="10"/>
      <c r="C434" s="10"/>
      <c r="D434" s="10"/>
      <c r="E434" s="10"/>
      <c r="F434" s="187"/>
      <c r="G434" s="188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</row>
    <row r="435" ht="12.75" customHeight="1">
      <c r="A435" s="10"/>
      <c r="B435" s="10"/>
      <c r="C435" s="10"/>
      <c r="D435" s="10"/>
      <c r="E435" s="10"/>
      <c r="F435" s="187"/>
      <c r="G435" s="188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</row>
    <row r="436" ht="12.75" customHeight="1">
      <c r="A436" s="10"/>
      <c r="B436" s="10"/>
      <c r="C436" s="10"/>
      <c r="D436" s="10"/>
      <c r="E436" s="10"/>
      <c r="F436" s="187"/>
      <c r="G436" s="188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</row>
    <row r="437" ht="12.75" customHeight="1">
      <c r="A437" s="10"/>
      <c r="B437" s="10"/>
      <c r="C437" s="10"/>
      <c r="D437" s="10"/>
      <c r="E437" s="10"/>
      <c r="F437" s="187"/>
      <c r="G437" s="188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</row>
    <row r="438" ht="12.75" customHeight="1">
      <c r="A438" s="10"/>
      <c r="B438" s="10"/>
      <c r="C438" s="10"/>
      <c r="D438" s="10"/>
      <c r="E438" s="10"/>
      <c r="F438" s="187"/>
      <c r="G438" s="188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</row>
    <row r="439" ht="12.75" customHeight="1">
      <c r="A439" s="10"/>
      <c r="B439" s="10"/>
      <c r="C439" s="10"/>
      <c r="D439" s="10"/>
      <c r="E439" s="10"/>
      <c r="F439" s="187"/>
      <c r="G439" s="188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</row>
    <row r="440" ht="12.75" customHeight="1">
      <c r="A440" s="10"/>
      <c r="B440" s="10"/>
      <c r="C440" s="10"/>
      <c r="D440" s="10"/>
      <c r="E440" s="10"/>
      <c r="F440" s="187"/>
      <c r="G440" s="188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</row>
    <row r="441" ht="12.75" customHeight="1">
      <c r="A441" s="10"/>
      <c r="B441" s="10"/>
      <c r="C441" s="10"/>
      <c r="D441" s="10"/>
      <c r="E441" s="10"/>
      <c r="F441" s="187"/>
      <c r="G441" s="188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</row>
    <row r="442" ht="12.75" customHeight="1">
      <c r="A442" s="10"/>
      <c r="B442" s="10"/>
      <c r="C442" s="10"/>
      <c r="D442" s="10"/>
      <c r="E442" s="10"/>
      <c r="F442" s="187"/>
      <c r="G442" s="188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</row>
    <row r="443" ht="12.75" customHeight="1">
      <c r="A443" s="10"/>
      <c r="B443" s="10"/>
      <c r="C443" s="10"/>
      <c r="D443" s="10"/>
      <c r="E443" s="10"/>
      <c r="F443" s="187"/>
      <c r="G443" s="188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</row>
    <row r="444" ht="12.75" customHeight="1">
      <c r="A444" s="10"/>
      <c r="B444" s="10"/>
      <c r="C444" s="10"/>
      <c r="D444" s="10"/>
      <c r="E444" s="10"/>
      <c r="F444" s="187"/>
      <c r="G444" s="188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</row>
    <row r="445" ht="12.75" customHeight="1">
      <c r="A445" s="10"/>
      <c r="B445" s="10"/>
      <c r="C445" s="10"/>
      <c r="D445" s="10"/>
      <c r="E445" s="10"/>
      <c r="F445" s="187"/>
      <c r="G445" s="188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</row>
    <row r="446" ht="12.75" customHeight="1">
      <c r="A446" s="10"/>
      <c r="B446" s="10"/>
      <c r="C446" s="10"/>
      <c r="D446" s="10"/>
      <c r="E446" s="10"/>
      <c r="F446" s="187"/>
      <c r="G446" s="188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</row>
    <row r="447" ht="12.75" customHeight="1">
      <c r="A447" s="10"/>
      <c r="B447" s="10"/>
      <c r="C447" s="10"/>
      <c r="D447" s="10"/>
      <c r="E447" s="10"/>
      <c r="F447" s="187"/>
      <c r="G447" s="188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</row>
    <row r="448" ht="12.75" customHeight="1">
      <c r="A448" s="10"/>
      <c r="B448" s="10"/>
      <c r="C448" s="10"/>
      <c r="D448" s="10"/>
      <c r="E448" s="10"/>
      <c r="F448" s="187"/>
      <c r="G448" s="188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</row>
    <row r="449" ht="12.75" customHeight="1">
      <c r="A449" s="10"/>
      <c r="B449" s="10"/>
      <c r="C449" s="10"/>
      <c r="D449" s="10"/>
      <c r="E449" s="10"/>
      <c r="F449" s="187"/>
      <c r="G449" s="188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</row>
    <row r="450" ht="12.75" customHeight="1">
      <c r="A450" s="10"/>
      <c r="B450" s="10"/>
      <c r="C450" s="10"/>
      <c r="D450" s="10"/>
      <c r="E450" s="10"/>
      <c r="F450" s="187"/>
      <c r="G450" s="188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</row>
    <row r="451" ht="12.75" customHeight="1">
      <c r="A451" s="10"/>
      <c r="B451" s="10"/>
      <c r="C451" s="10"/>
      <c r="D451" s="10"/>
      <c r="E451" s="10"/>
      <c r="F451" s="187"/>
      <c r="G451" s="188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</row>
    <row r="452" ht="12.75" customHeight="1">
      <c r="A452" s="10"/>
      <c r="B452" s="10"/>
      <c r="C452" s="10"/>
      <c r="D452" s="10"/>
      <c r="E452" s="10"/>
      <c r="F452" s="187"/>
      <c r="G452" s="188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</row>
    <row r="453" ht="12.75" customHeight="1">
      <c r="A453" s="10"/>
      <c r="B453" s="10"/>
      <c r="C453" s="10"/>
      <c r="D453" s="10"/>
      <c r="E453" s="10"/>
      <c r="F453" s="187"/>
      <c r="G453" s="188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</row>
    <row r="454" ht="12.75" customHeight="1">
      <c r="A454" s="10"/>
      <c r="B454" s="10"/>
      <c r="C454" s="10"/>
      <c r="D454" s="10"/>
      <c r="E454" s="10"/>
      <c r="F454" s="187"/>
      <c r="G454" s="188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</row>
    <row r="455" ht="12.75" customHeight="1">
      <c r="A455" s="10"/>
      <c r="B455" s="10"/>
      <c r="C455" s="10"/>
      <c r="D455" s="10"/>
      <c r="E455" s="10"/>
      <c r="F455" s="187"/>
      <c r="G455" s="188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</row>
    <row r="456" ht="12.75" customHeight="1">
      <c r="A456" s="10"/>
      <c r="B456" s="10"/>
      <c r="C456" s="10"/>
      <c r="D456" s="10"/>
      <c r="E456" s="10"/>
      <c r="F456" s="187"/>
      <c r="G456" s="188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</row>
    <row r="457" ht="12.75" customHeight="1">
      <c r="A457" s="10"/>
      <c r="B457" s="10"/>
      <c r="C457" s="10"/>
      <c r="D457" s="10"/>
      <c r="E457" s="10"/>
      <c r="F457" s="187"/>
      <c r="G457" s="188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</row>
    <row r="458" ht="12.75" customHeight="1">
      <c r="A458" s="10"/>
      <c r="B458" s="10"/>
      <c r="C458" s="10"/>
      <c r="D458" s="10"/>
      <c r="E458" s="10"/>
      <c r="F458" s="187"/>
      <c r="G458" s="188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</row>
    <row r="459" ht="12.75" customHeight="1">
      <c r="A459" s="10"/>
      <c r="B459" s="10"/>
      <c r="C459" s="10"/>
      <c r="D459" s="10"/>
      <c r="E459" s="10"/>
      <c r="F459" s="187"/>
      <c r="G459" s="188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</row>
    <row r="460" ht="12.75" customHeight="1">
      <c r="A460" s="10"/>
      <c r="B460" s="10"/>
      <c r="C460" s="10"/>
      <c r="D460" s="10"/>
      <c r="E460" s="10"/>
      <c r="F460" s="187"/>
      <c r="G460" s="188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</row>
    <row r="461" ht="12.75" customHeight="1">
      <c r="A461" s="10"/>
      <c r="B461" s="10"/>
      <c r="C461" s="10"/>
      <c r="D461" s="10"/>
      <c r="E461" s="10"/>
      <c r="F461" s="187"/>
      <c r="G461" s="188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</row>
    <row r="462" ht="12.75" customHeight="1">
      <c r="A462" s="10"/>
      <c r="B462" s="10"/>
      <c r="C462" s="10"/>
      <c r="D462" s="10"/>
      <c r="E462" s="10"/>
      <c r="F462" s="187"/>
      <c r="G462" s="188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</row>
    <row r="463" ht="12.75" customHeight="1">
      <c r="A463" s="10"/>
      <c r="B463" s="10"/>
      <c r="C463" s="10"/>
      <c r="D463" s="10"/>
      <c r="E463" s="10"/>
      <c r="F463" s="187"/>
      <c r="G463" s="188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</row>
    <row r="464" ht="12.75" customHeight="1">
      <c r="A464" s="10"/>
      <c r="B464" s="10"/>
      <c r="C464" s="10"/>
      <c r="D464" s="10"/>
      <c r="E464" s="10"/>
      <c r="F464" s="187"/>
      <c r="G464" s="188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</row>
    <row r="465" ht="12.75" customHeight="1">
      <c r="A465" s="10"/>
      <c r="B465" s="10"/>
      <c r="C465" s="10"/>
      <c r="D465" s="10"/>
      <c r="E465" s="10"/>
      <c r="F465" s="187"/>
      <c r="G465" s="188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</row>
    <row r="466" ht="12.75" customHeight="1">
      <c r="A466" s="10"/>
      <c r="B466" s="10"/>
      <c r="C466" s="10"/>
      <c r="D466" s="10"/>
      <c r="E466" s="10"/>
      <c r="F466" s="187"/>
      <c r="G466" s="188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</row>
    <row r="467" ht="12.75" customHeight="1">
      <c r="A467" s="10"/>
      <c r="B467" s="10"/>
      <c r="C467" s="10"/>
      <c r="D467" s="10"/>
      <c r="E467" s="10"/>
      <c r="F467" s="187"/>
      <c r="G467" s="188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</row>
    <row r="468" ht="12.75" customHeight="1">
      <c r="A468" s="10"/>
      <c r="B468" s="10"/>
      <c r="C468" s="10"/>
      <c r="D468" s="10"/>
      <c r="E468" s="10"/>
      <c r="F468" s="187"/>
      <c r="G468" s="188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</row>
    <row r="469" ht="12.75" customHeight="1">
      <c r="A469" s="10"/>
      <c r="B469" s="10"/>
      <c r="C469" s="10"/>
      <c r="D469" s="10"/>
      <c r="E469" s="10"/>
      <c r="F469" s="187"/>
      <c r="G469" s="188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</row>
    <row r="470" ht="12.75" customHeight="1">
      <c r="A470" s="10"/>
      <c r="B470" s="10"/>
      <c r="C470" s="10"/>
      <c r="D470" s="10"/>
      <c r="E470" s="10"/>
      <c r="F470" s="187"/>
      <c r="G470" s="188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</row>
    <row r="471" ht="12.75" customHeight="1">
      <c r="A471" s="10"/>
      <c r="B471" s="10"/>
      <c r="C471" s="10"/>
      <c r="D471" s="10"/>
      <c r="E471" s="10"/>
      <c r="F471" s="187"/>
      <c r="G471" s="188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</row>
    <row r="472" ht="12.75" customHeight="1">
      <c r="A472" s="10"/>
      <c r="B472" s="10"/>
      <c r="C472" s="10"/>
      <c r="D472" s="10"/>
      <c r="E472" s="10"/>
      <c r="F472" s="187"/>
      <c r="G472" s="188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</row>
    <row r="473" ht="12.75" customHeight="1">
      <c r="A473" s="10"/>
      <c r="B473" s="10"/>
      <c r="C473" s="10"/>
      <c r="D473" s="10"/>
      <c r="E473" s="10"/>
      <c r="F473" s="187"/>
      <c r="G473" s="188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</row>
    <row r="474" ht="12.75" customHeight="1">
      <c r="A474" s="10"/>
      <c r="B474" s="10"/>
      <c r="C474" s="10"/>
      <c r="D474" s="10"/>
      <c r="E474" s="10"/>
      <c r="F474" s="187"/>
      <c r="G474" s="188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</row>
    <row r="475" ht="12.75" customHeight="1">
      <c r="A475" s="10"/>
      <c r="B475" s="10"/>
      <c r="C475" s="10"/>
      <c r="D475" s="10"/>
      <c r="E475" s="10"/>
      <c r="F475" s="187"/>
      <c r="G475" s="188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</row>
    <row r="476" ht="12.75" customHeight="1">
      <c r="A476" s="10"/>
      <c r="B476" s="10"/>
      <c r="C476" s="10"/>
      <c r="D476" s="10"/>
      <c r="E476" s="10"/>
      <c r="F476" s="187"/>
      <c r="G476" s="188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</row>
    <row r="477" ht="12.75" customHeight="1">
      <c r="A477" s="10"/>
      <c r="B477" s="10"/>
      <c r="C477" s="10"/>
      <c r="D477" s="10"/>
      <c r="E477" s="10"/>
      <c r="F477" s="187"/>
      <c r="G477" s="188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</row>
    <row r="478" ht="12.75" customHeight="1">
      <c r="A478" s="10"/>
      <c r="B478" s="10"/>
      <c r="C478" s="10"/>
      <c r="D478" s="10"/>
      <c r="E478" s="10"/>
      <c r="F478" s="187"/>
      <c r="G478" s="188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</row>
    <row r="479" ht="12.75" customHeight="1">
      <c r="A479" s="10"/>
      <c r="B479" s="10"/>
      <c r="C479" s="10"/>
      <c r="D479" s="10"/>
      <c r="E479" s="10"/>
      <c r="F479" s="187"/>
      <c r="G479" s="188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</row>
    <row r="480" ht="12.75" customHeight="1">
      <c r="A480" s="10"/>
      <c r="B480" s="10"/>
      <c r="C480" s="10"/>
      <c r="D480" s="10"/>
      <c r="E480" s="10"/>
      <c r="F480" s="187"/>
      <c r="G480" s="188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</row>
    <row r="481" ht="12.75" customHeight="1">
      <c r="A481" s="10"/>
      <c r="B481" s="10"/>
      <c r="C481" s="10"/>
      <c r="D481" s="10"/>
      <c r="E481" s="10"/>
      <c r="F481" s="187"/>
      <c r="G481" s="188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</row>
    <row r="482" ht="12.75" customHeight="1">
      <c r="A482" s="10"/>
      <c r="B482" s="10"/>
      <c r="C482" s="10"/>
      <c r="D482" s="10"/>
      <c r="E482" s="10"/>
      <c r="F482" s="187"/>
      <c r="G482" s="188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</row>
    <row r="483" ht="12.75" customHeight="1">
      <c r="A483" s="10"/>
      <c r="B483" s="10"/>
      <c r="C483" s="10"/>
      <c r="D483" s="10"/>
      <c r="E483" s="10"/>
      <c r="F483" s="187"/>
      <c r="G483" s="188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</row>
    <row r="484" ht="12.75" customHeight="1">
      <c r="A484" s="10"/>
      <c r="B484" s="10"/>
      <c r="C484" s="10"/>
      <c r="D484" s="10"/>
      <c r="E484" s="10"/>
      <c r="F484" s="187"/>
      <c r="G484" s="188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</row>
    <row r="485" ht="12.75" customHeight="1">
      <c r="A485" s="10"/>
      <c r="B485" s="10"/>
      <c r="C485" s="10"/>
      <c r="D485" s="10"/>
      <c r="E485" s="10"/>
      <c r="F485" s="187"/>
      <c r="G485" s="188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</row>
    <row r="486" ht="12.75" customHeight="1">
      <c r="A486" s="10"/>
      <c r="B486" s="10"/>
      <c r="C486" s="10"/>
      <c r="D486" s="10"/>
      <c r="E486" s="10"/>
      <c r="F486" s="187"/>
      <c r="G486" s="188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</row>
    <row r="487" ht="12.75" customHeight="1">
      <c r="A487" s="10"/>
      <c r="B487" s="10"/>
      <c r="C487" s="10"/>
      <c r="D487" s="10"/>
      <c r="E487" s="10"/>
      <c r="F487" s="187"/>
      <c r="G487" s="188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</row>
    <row r="488" ht="12.75" customHeight="1">
      <c r="A488" s="10"/>
      <c r="B488" s="10"/>
      <c r="C488" s="10"/>
      <c r="D488" s="10"/>
      <c r="E488" s="10"/>
      <c r="F488" s="187"/>
      <c r="G488" s="188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</row>
    <row r="489" ht="12.75" customHeight="1">
      <c r="A489" s="10"/>
      <c r="B489" s="10"/>
      <c r="C489" s="10"/>
      <c r="D489" s="10"/>
      <c r="E489" s="10"/>
      <c r="F489" s="187"/>
      <c r="G489" s="188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</row>
    <row r="490" ht="12.75" customHeight="1">
      <c r="A490" s="10"/>
      <c r="B490" s="10"/>
      <c r="C490" s="10"/>
      <c r="D490" s="10"/>
      <c r="E490" s="10"/>
      <c r="F490" s="187"/>
      <c r="G490" s="188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</row>
    <row r="491" ht="12.75" customHeight="1">
      <c r="A491" s="10"/>
      <c r="B491" s="10"/>
      <c r="C491" s="10"/>
      <c r="D491" s="10"/>
      <c r="E491" s="10"/>
      <c r="F491" s="187"/>
      <c r="G491" s="188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</row>
    <row r="492" ht="12.75" customHeight="1">
      <c r="A492" s="10"/>
      <c r="B492" s="10"/>
      <c r="C492" s="10"/>
      <c r="D492" s="10"/>
      <c r="E492" s="10"/>
      <c r="F492" s="187"/>
      <c r="G492" s="188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</row>
    <row r="493" ht="12.75" customHeight="1">
      <c r="A493" s="10"/>
      <c r="B493" s="10"/>
      <c r="C493" s="10"/>
      <c r="D493" s="10"/>
      <c r="E493" s="10"/>
      <c r="F493" s="187"/>
      <c r="G493" s="188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</row>
    <row r="494" ht="12.75" customHeight="1">
      <c r="A494" s="10"/>
      <c r="B494" s="10"/>
      <c r="C494" s="10"/>
      <c r="D494" s="10"/>
      <c r="E494" s="10"/>
      <c r="F494" s="187"/>
      <c r="G494" s="188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</row>
    <row r="495" ht="12.75" customHeight="1">
      <c r="A495" s="10"/>
      <c r="B495" s="10"/>
      <c r="C495" s="10"/>
      <c r="D495" s="10"/>
      <c r="E495" s="10"/>
      <c r="F495" s="187"/>
      <c r="G495" s="188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</row>
    <row r="496" ht="12.75" customHeight="1">
      <c r="A496" s="10"/>
      <c r="B496" s="10"/>
      <c r="C496" s="10"/>
      <c r="D496" s="10"/>
      <c r="E496" s="10"/>
      <c r="F496" s="187"/>
      <c r="G496" s="188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</row>
    <row r="497" ht="12.75" customHeight="1">
      <c r="A497" s="10"/>
      <c r="B497" s="10"/>
      <c r="C497" s="10"/>
      <c r="D497" s="10"/>
      <c r="E497" s="10"/>
      <c r="F497" s="187"/>
      <c r="G497" s="188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</row>
    <row r="498" ht="12.75" customHeight="1">
      <c r="A498" s="10"/>
      <c r="B498" s="10"/>
      <c r="C498" s="10"/>
      <c r="D498" s="10"/>
      <c r="E498" s="10"/>
      <c r="F498" s="187"/>
      <c r="G498" s="188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</row>
    <row r="499" ht="12.75" customHeight="1">
      <c r="A499" s="10"/>
      <c r="B499" s="10"/>
      <c r="C499" s="10"/>
      <c r="D499" s="10"/>
      <c r="E499" s="10"/>
      <c r="F499" s="187"/>
      <c r="G499" s="188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</row>
    <row r="500" ht="12.75" customHeight="1">
      <c r="A500" s="10"/>
      <c r="B500" s="10"/>
      <c r="C500" s="10"/>
      <c r="D500" s="10"/>
      <c r="E500" s="10"/>
      <c r="F500" s="187"/>
      <c r="G500" s="188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</row>
    <row r="501" ht="12.75" customHeight="1">
      <c r="A501" s="10"/>
      <c r="B501" s="10"/>
      <c r="C501" s="10"/>
      <c r="D501" s="10"/>
      <c r="E501" s="10"/>
      <c r="F501" s="187"/>
      <c r="G501" s="188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</row>
    <row r="502" ht="12.75" customHeight="1">
      <c r="A502" s="10"/>
      <c r="B502" s="10"/>
      <c r="C502" s="10"/>
      <c r="D502" s="10"/>
      <c r="E502" s="10"/>
      <c r="F502" s="187"/>
      <c r="G502" s="188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</row>
    <row r="503" ht="12.75" customHeight="1">
      <c r="A503" s="10"/>
      <c r="B503" s="10"/>
      <c r="C503" s="10"/>
      <c r="D503" s="10"/>
      <c r="E503" s="10"/>
      <c r="F503" s="187"/>
      <c r="G503" s="188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</row>
    <row r="504" ht="12.75" customHeight="1">
      <c r="A504" s="10"/>
      <c r="B504" s="10"/>
      <c r="C504" s="10"/>
      <c r="D504" s="10"/>
      <c r="E504" s="10"/>
      <c r="F504" s="187"/>
      <c r="G504" s="188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</row>
    <row r="505" ht="12.75" customHeight="1">
      <c r="A505" s="10"/>
      <c r="B505" s="10"/>
      <c r="C505" s="10"/>
      <c r="D505" s="10"/>
      <c r="E505" s="10"/>
      <c r="F505" s="187"/>
      <c r="G505" s="188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</row>
    <row r="506" ht="12.75" customHeight="1">
      <c r="A506" s="10"/>
      <c r="B506" s="10"/>
      <c r="C506" s="10"/>
      <c r="D506" s="10"/>
      <c r="E506" s="10"/>
      <c r="F506" s="187"/>
      <c r="G506" s="188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</row>
    <row r="507" ht="12.75" customHeight="1">
      <c r="A507" s="10"/>
      <c r="B507" s="10"/>
      <c r="C507" s="10"/>
      <c r="D507" s="10"/>
      <c r="E507" s="10"/>
      <c r="F507" s="187"/>
      <c r="G507" s="188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</row>
    <row r="508" ht="12.75" customHeight="1">
      <c r="A508" s="10"/>
      <c r="B508" s="10"/>
      <c r="C508" s="10"/>
      <c r="D508" s="10"/>
      <c r="E508" s="10"/>
      <c r="F508" s="187"/>
      <c r="G508" s="188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</row>
    <row r="509" ht="12.75" customHeight="1">
      <c r="A509" s="10"/>
      <c r="B509" s="10"/>
      <c r="C509" s="10"/>
      <c r="D509" s="10"/>
      <c r="E509" s="10"/>
      <c r="F509" s="187"/>
      <c r="G509" s="188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</row>
    <row r="510" ht="12.75" customHeight="1">
      <c r="A510" s="10"/>
      <c r="B510" s="10"/>
      <c r="C510" s="10"/>
      <c r="D510" s="10"/>
      <c r="E510" s="10"/>
      <c r="F510" s="187"/>
      <c r="G510" s="188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</row>
    <row r="511" ht="12.75" customHeight="1">
      <c r="A511" s="10"/>
      <c r="B511" s="10"/>
      <c r="C511" s="10"/>
      <c r="D511" s="10"/>
      <c r="E511" s="10"/>
      <c r="F511" s="187"/>
      <c r="G511" s="188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</row>
    <row r="512" ht="12.75" customHeight="1">
      <c r="A512" s="10"/>
      <c r="B512" s="10"/>
      <c r="C512" s="10"/>
      <c r="D512" s="10"/>
      <c r="E512" s="10"/>
      <c r="F512" s="187"/>
      <c r="G512" s="188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</row>
    <row r="513" ht="12.75" customHeight="1">
      <c r="A513" s="10"/>
      <c r="B513" s="10"/>
      <c r="C513" s="10"/>
      <c r="D513" s="10"/>
      <c r="E513" s="10"/>
      <c r="F513" s="187"/>
      <c r="G513" s="188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</row>
    <row r="514" ht="12.75" customHeight="1">
      <c r="A514" s="10"/>
      <c r="B514" s="10"/>
      <c r="C514" s="10"/>
      <c r="D514" s="10"/>
      <c r="E514" s="10"/>
      <c r="F514" s="187"/>
      <c r="G514" s="188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</row>
    <row r="515" ht="12.75" customHeight="1">
      <c r="A515" s="10"/>
      <c r="B515" s="10"/>
      <c r="C515" s="10"/>
      <c r="D515" s="10"/>
      <c r="E515" s="10"/>
      <c r="F515" s="187"/>
      <c r="G515" s="188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</row>
    <row r="516" ht="12.75" customHeight="1">
      <c r="A516" s="10"/>
      <c r="B516" s="10"/>
      <c r="C516" s="10"/>
      <c r="D516" s="10"/>
      <c r="E516" s="10"/>
      <c r="F516" s="187"/>
      <c r="G516" s="188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</row>
    <row r="517" ht="12.75" customHeight="1">
      <c r="A517" s="10"/>
      <c r="B517" s="10"/>
      <c r="C517" s="10"/>
      <c r="D517" s="10"/>
      <c r="E517" s="10"/>
      <c r="F517" s="187"/>
      <c r="G517" s="188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</row>
    <row r="518" ht="12.75" customHeight="1">
      <c r="A518" s="10"/>
      <c r="B518" s="10"/>
      <c r="C518" s="10"/>
      <c r="D518" s="10"/>
      <c r="E518" s="10"/>
      <c r="F518" s="187"/>
      <c r="G518" s="188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</row>
    <row r="519" ht="12.75" customHeight="1">
      <c r="A519" s="10"/>
      <c r="B519" s="10"/>
      <c r="C519" s="10"/>
      <c r="D519" s="10"/>
      <c r="E519" s="10"/>
      <c r="F519" s="187"/>
      <c r="G519" s="188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</row>
    <row r="520" ht="12.75" customHeight="1">
      <c r="A520" s="10"/>
      <c r="B520" s="10"/>
      <c r="C520" s="10"/>
      <c r="D520" s="10"/>
      <c r="E520" s="10"/>
      <c r="F520" s="187"/>
      <c r="G520" s="188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</row>
    <row r="521" ht="12.75" customHeight="1">
      <c r="A521" s="10"/>
      <c r="B521" s="10"/>
      <c r="C521" s="10"/>
      <c r="D521" s="10"/>
      <c r="E521" s="10"/>
      <c r="F521" s="187"/>
      <c r="G521" s="188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</row>
    <row r="522" ht="12.75" customHeight="1">
      <c r="A522" s="10"/>
      <c r="B522" s="10"/>
      <c r="C522" s="10"/>
      <c r="D522" s="10"/>
      <c r="E522" s="10"/>
      <c r="F522" s="187"/>
      <c r="G522" s="188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</row>
    <row r="523" ht="12.75" customHeight="1">
      <c r="A523" s="10"/>
      <c r="B523" s="10"/>
      <c r="C523" s="10"/>
      <c r="D523" s="10"/>
      <c r="E523" s="10"/>
      <c r="F523" s="187"/>
      <c r="G523" s="188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</row>
    <row r="524" ht="12.75" customHeight="1">
      <c r="A524" s="10"/>
      <c r="B524" s="10"/>
      <c r="C524" s="10"/>
      <c r="D524" s="10"/>
      <c r="E524" s="10"/>
      <c r="F524" s="187"/>
      <c r="G524" s="188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</row>
    <row r="525" ht="12.75" customHeight="1">
      <c r="A525" s="10"/>
      <c r="B525" s="10"/>
      <c r="C525" s="10"/>
      <c r="D525" s="10"/>
      <c r="E525" s="10"/>
      <c r="F525" s="187"/>
      <c r="G525" s="188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</row>
    <row r="526" ht="12.75" customHeight="1">
      <c r="A526" s="10"/>
      <c r="B526" s="10"/>
      <c r="C526" s="10"/>
      <c r="D526" s="10"/>
      <c r="E526" s="10"/>
      <c r="F526" s="187"/>
      <c r="G526" s="188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</row>
    <row r="527" ht="12.75" customHeight="1">
      <c r="A527" s="10"/>
      <c r="B527" s="10"/>
      <c r="C527" s="10"/>
      <c r="D527" s="10"/>
      <c r="E527" s="10"/>
      <c r="F527" s="187"/>
      <c r="G527" s="188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</row>
    <row r="528" ht="12.75" customHeight="1">
      <c r="A528" s="10"/>
      <c r="B528" s="10"/>
      <c r="C528" s="10"/>
      <c r="D528" s="10"/>
      <c r="E528" s="10"/>
      <c r="F528" s="187"/>
      <c r="G528" s="188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</row>
    <row r="529" ht="12.75" customHeight="1">
      <c r="A529" s="10"/>
      <c r="B529" s="10"/>
      <c r="C529" s="10"/>
      <c r="D529" s="10"/>
      <c r="E529" s="10"/>
      <c r="F529" s="187"/>
      <c r="G529" s="188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</row>
    <row r="530" ht="12.75" customHeight="1">
      <c r="A530" s="10"/>
      <c r="B530" s="10"/>
      <c r="C530" s="10"/>
      <c r="D530" s="10"/>
      <c r="E530" s="10"/>
      <c r="F530" s="187"/>
      <c r="G530" s="188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</row>
    <row r="531" ht="12.75" customHeight="1">
      <c r="A531" s="10"/>
      <c r="B531" s="10"/>
      <c r="C531" s="10"/>
      <c r="D531" s="10"/>
      <c r="E531" s="10"/>
      <c r="F531" s="187"/>
      <c r="G531" s="188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</row>
    <row r="532" ht="12.75" customHeight="1">
      <c r="A532" s="10"/>
      <c r="B532" s="10"/>
      <c r="C532" s="10"/>
      <c r="D532" s="10"/>
      <c r="E532" s="10"/>
      <c r="F532" s="187"/>
      <c r="G532" s="188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</row>
    <row r="533" ht="12.75" customHeight="1">
      <c r="A533" s="10"/>
      <c r="B533" s="10"/>
      <c r="C533" s="10"/>
      <c r="D533" s="10"/>
      <c r="E533" s="10"/>
      <c r="F533" s="187"/>
      <c r="G533" s="188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</row>
    <row r="534" ht="12.75" customHeight="1">
      <c r="A534" s="10"/>
      <c r="B534" s="10"/>
      <c r="C534" s="10"/>
      <c r="D534" s="10"/>
      <c r="E534" s="10"/>
      <c r="F534" s="187"/>
      <c r="G534" s="188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</row>
    <row r="535" ht="12.75" customHeight="1">
      <c r="A535" s="10"/>
      <c r="B535" s="10"/>
      <c r="C535" s="10"/>
      <c r="D535" s="10"/>
      <c r="E535" s="10"/>
      <c r="F535" s="187"/>
      <c r="G535" s="188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</row>
    <row r="536" ht="12.75" customHeight="1">
      <c r="A536" s="10"/>
      <c r="B536" s="10"/>
      <c r="C536" s="10"/>
      <c r="D536" s="10"/>
      <c r="E536" s="10"/>
      <c r="F536" s="187"/>
      <c r="G536" s="188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</row>
    <row r="537" ht="12.75" customHeight="1">
      <c r="A537" s="10"/>
      <c r="B537" s="10"/>
      <c r="C537" s="10"/>
      <c r="D537" s="10"/>
      <c r="E537" s="10"/>
      <c r="F537" s="187"/>
      <c r="G537" s="188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</row>
    <row r="538" ht="12.75" customHeight="1">
      <c r="A538" s="10"/>
      <c r="B538" s="10"/>
      <c r="C538" s="10"/>
      <c r="D538" s="10"/>
      <c r="E538" s="10"/>
      <c r="F538" s="187"/>
      <c r="G538" s="188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</row>
    <row r="539" ht="12.75" customHeight="1">
      <c r="A539" s="10"/>
      <c r="B539" s="10"/>
      <c r="C539" s="10"/>
      <c r="D539" s="10"/>
      <c r="E539" s="10"/>
      <c r="F539" s="187"/>
      <c r="G539" s="188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</row>
    <row r="540" ht="12.75" customHeight="1">
      <c r="A540" s="10"/>
      <c r="B540" s="10"/>
      <c r="C540" s="10"/>
      <c r="D540" s="10"/>
      <c r="E540" s="10"/>
      <c r="F540" s="187"/>
      <c r="G540" s="188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</row>
    <row r="541" ht="12.75" customHeight="1">
      <c r="A541" s="10"/>
      <c r="B541" s="10"/>
      <c r="C541" s="10"/>
      <c r="D541" s="10"/>
      <c r="E541" s="10"/>
      <c r="F541" s="187"/>
      <c r="G541" s="188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</row>
    <row r="542" ht="12.75" customHeight="1">
      <c r="A542" s="10"/>
      <c r="B542" s="10"/>
      <c r="C542" s="10"/>
      <c r="D542" s="10"/>
      <c r="E542" s="10"/>
      <c r="F542" s="187"/>
      <c r="G542" s="188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</row>
    <row r="543" ht="12.75" customHeight="1">
      <c r="A543" s="10"/>
      <c r="B543" s="10"/>
      <c r="C543" s="10"/>
      <c r="D543" s="10"/>
      <c r="E543" s="10"/>
      <c r="F543" s="187"/>
      <c r="G543" s="188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</row>
    <row r="544" ht="12.75" customHeight="1">
      <c r="A544" s="10"/>
      <c r="B544" s="10"/>
      <c r="C544" s="10"/>
      <c r="D544" s="10"/>
      <c r="E544" s="10"/>
      <c r="F544" s="187"/>
      <c r="G544" s="188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</row>
    <row r="545" ht="12.75" customHeight="1">
      <c r="A545" s="10"/>
      <c r="B545" s="10"/>
      <c r="C545" s="10"/>
      <c r="D545" s="10"/>
      <c r="E545" s="10"/>
      <c r="F545" s="187"/>
      <c r="G545" s="188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</row>
    <row r="546" ht="12.75" customHeight="1">
      <c r="A546" s="10"/>
      <c r="B546" s="10"/>
      <c r="C546" s="10"/>
      <c r="D546" s="10"/>
      <c r="E546" s="10"/>
      <c r="F546" s="187"/>
      <c r="G546" s="188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</row>
    <row r="547" ht="12.75" customHeight="1">
      <c r="A547" s="10"/>
      <c r="B547" s="10"/>
      <c r="C547" s="10"/>
      <c r="D547" s="10"/>
      <c r="E547" s="10"/>
      <c r="F547" s="187"/>
      <c r="G547" s="188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</row>
    <row r="548" ht="12.75" customHeight="1">
      <c r="A548" s="10"/>
      <c r="B548" s="10"/>
      <c r="C548" s="10"/>
      <c r="D548" s="10"/>
      <c r="E548" s="10"/>
      <c r="F548" s="187"/>
      <c r="G548" s="188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</row>
    <row r="549" ht="12.75" customHeight="1">
      <c r="A549" s="10"/>
      <c r="B549" s="10"/>
      <c r="C549" s="10"/>
      <c r="D549" s="10"/>
      <c r="E549" s="10"/>
      <c r="F549" s="187"/>
      <c r="G549" s="188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</row>
    <row r="550" ht="12.75" customHeight="1">
      <c r="A550" s="10"/>
      <c r="B550" s="10"/>
      <c r="C550" s="10"/>
      <c r="D550" s="10"/>
      <c r="E550" s="10"/>
      <c r="F550" s="187"/>
      <c r="G550" s="188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</row>
    <row r="551" ht="12.75" customHeight="1">
      <c r="A551" s="10"/>
      <c r="B551" s="10"/>
      <c r="C551" s="10"/>
      <c r="D551" s="10"/>
      <c r="E551" s="10"/>
      <c r="F551" s="187"/>
      <c r="G551" s="188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</row>
    <row r="552" ht="12.75" customHeight="1">
      <c r="A552" s="10"/>
      <c r="B552" s="10"/>
      <c r="C552" s="10"/>
      <c r="D552" s="10"/>
      <c r="E552" s="10"/>
      <c r="F552" s="187"/>
      <c r="G552" s="188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</row>
    <row r="553" ht="12.75" customHeight="1">
      <c r="A553" s="10"/>
      <c r="B553" s="10"/>
      <c r="C553" s="10"/>
      <c r="D553" s="10"/>
      <c r="E553" s="10"/>
      <c r="F553" s="187"/>
      <c r="G553" s="188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</row>
    <row r="554" ht="12.75" customHeight="1">
      <c r="A554" s="10"/>
      <c r="B554" s="10"/>
      <c r="C554" s="10"/>
      <c r="D554" s="10"/>
      <c r="E554" s="10"/>
      <c r="F554" s="187"/>
      <c r="G554" s="188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</row>
    <row r="555" ht="12.75" customHeight="1">
      <c r="A555" s="10"/>
      <c r="B555" s="10"/>
      <c r="C555" s="10"/>
      <c r="D555" s="10"/>
      <c r="E555" s="10"/>
      <c r="F555" s="187"/>
      <c r="G555" s="188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</row>
    <row r="556" ht="12.75" customHeight="1">
      <c r="A556" s="10"/>
      <c r="B556" s="10"/>
      <c r="C556" s="10"/>
      <c r="D556" s="10"/>
      <c r="E556" s="10"/>
      <c r="F556" s="187"/>
      <c r="G556" s="188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</row>
    <row r="557" ht="12.75" customHeight="1">
      <c r="A557" s="10"/>
      <c r="B557" s="10"/>
      <c r="C557" s="10"/>
      <c r="D557" s="10"/>
      <c r="E557" s="10"/>
      <c r="F557" s="187"/>
      <c r="G557" s="188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</row>
    <row r="558" ht="12.75" customHeight="1">
      <c r="A558" s="10"/>
      <c r="B558" s="10"/>
      <c r="C558" s="10"/>
      <c r="D558" s="10"/>
      <c r="E558" s="10"/>
      <c r="F558" s="187"/>
      <c r="G558" s="188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</row>
    <row r="559" ht="12.75" customHeight="1">
      <c r="A559" s="10"/>
      <c r="B559" s="10"/>
      <c r="C559" s="10"/>
      <c r="D559" s="10"/>
      <c r="E559" s="10"/>
      <c r="F559" s="187"/>
      <c r="G559" s="188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</row>
    <row r="560" ht="12.75" customHeight="1">
      <c r="A560" s="10"/>
      <c r="B560" s="10"/>
      <c r="C560" s="10"/>
      <c r="D560" s="10"/>
      <c r="E560" s="10"/>
      <c r="F560" s="187"/>
      <c r="G560" s="188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</row>
    <row r="561" ht="12.75" customHeight="1">
      <c r="A561" s="10"/>
      <c r="B561" s="10"/>
      <c r="C561" s="10"/>
      <c r="D561" s="10"/>
      <c r="E561" s="10"/>
      <c r="F561" s="187"/>
      <c r="G561" s="188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</row>
    <row r="562" ht="12.75" customHeight="1">
      <c r="A562" s="10"/>
      <c r="B562" s="10"/>
      <c r="C562" s="10"/>
      <c r="D562" s="10"/>
      <c r="E562" s="10"/>
      <c r="F562" s="187"/>
      <c r="G562" s="188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</row>
    <row r="563" ht="12.75" customHeight="1">
      <c r="A563" s="10"/>
      <c r="B563" s="10"/>
      <c r="C563" s="10"/>
      <c r="D563" s="10"/>
      <c r="E563" s="10"/>
      <c r="F563" s="187"/>
      <c r="G563" s="188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</row>
    <row r="564" ht="12.75" customHeight="1">
      <c r="A564" s="10"/>
      <c r="B564" s="10"/>
      <c r="C564" s="10"/>
      <c r="D564" s="10"/>
      <c r="E564" s="10"/>
      <c r="F564" s="187"/>
      <c r="G564" s="188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</row>
    <row r="565" ht="12.75" customHeight="1">
      <c r="A565" s="10"/>
      <c r="B565" s="10"/>
      <c r="C565" s="10"/>
      <c r="D565" s="10"/>
      <c r="E565" s="10"/>
      <c r="F565" s="187"/>
      <c r="G565" s="188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</row>
    <row r="566" ht="12.75" customHeight="1">
      <c r="A566" s="10"/>
      <c r="B566" s="10"/>
      <c r="C566" s="10"/>
      <c r="D566" s="10"/>
      <c r="E566" s="10"/>
      <c r="F566" s="187"/>
      <c r="G566" s="188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</row>
    <row r="567" ht="12.75" customHeight="1">
      <c r="A567" s="10"/>
      <c r="B567" s="10"/>
      <c r="C567" s="10"/>
      <c r="D567" s="10"/>
      <c r="E567" s="10"/>
      <c r="F567" s="187"/>
      <c r="G567" s="188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</row>
    <row r="568" ht="12.75" customHeight="1">
      <c r="A568" s="10"/>
      <c r="B568" s="10"/>
      <c r="C568" s="10"/>
      <c r="D568" s="10"/>
      <c r="E568" s="10"/>
      <c r="F568" s="187"/>
      <c r="G568" s="188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</row>
    <row r="569" ht="12.75" customHeight="1">
      <c r="A569" s="10"/>
      <c r="B569" s="10"/>
      <c r="C569" s="10"/>
      <c r="D569" s="10"/>
      <c r="E569" s="10"/>
      <c r="F569" s="187"/>
      <c r="G569" s="188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</row>
    <row r="570" ht="12.75" customHeight="1">
      <c r="A570" s="10"/>
      <c r="B570" s="10"/>
      <c r="C570" s="10"/>
      <c r="D570" s="10"/>
      <c r="E570" s="10"/>
      <c r="F570" s="187"/>
      <c r="G570" s="188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</row>
    <row r="571" ht="12.75" customHeight="1">
      <c r="A571" s="10"/>
      <c r="B571" s="10"/>
      <c r="C571" s="10"/>
      <c r="D571" s="10"/>
      <c r="E571" s="10"/>
      <c r="F571" s="187"/>
      <c r="G571" s="188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</row>
    <row r="572" ht="12.75" customHeight="1">
      <c r="A572" s="10"/>
      <c r="B572" s="10"/>
      <c r="C572" s="10"/>
      <c r="D572" s="10"/>
      <c r="E572" s="10"/>
      <c r="F572" s="187"/>
      <c r="G572" s="188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</row>
    <row r="573" ht="12.75" customHeight="1">
      <c r="A573" s="10"/>
      <c r="B573" s="10"/>
      <c r="C573" s="10"/>
      <c r="D573" s="10"/>
      <c r="E573" s="10"/>
      <c r="F573" s="187"/>
      <c r="G573" s="188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</row>
    <row r="574" ht="12.75" customHeight="1">
      <c r="A574" s="10"/>
      <c r="B574" s="10"/>
      <c r="C574" s="10"/>
      <c r="D574" s="10"/>
      <c r="E574" s="10"/>
      <c r="F574" s="187"/>
      <c r="G574" s="188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</row>
    <row r="575" ht="12.75" customHeight="1">
      <c r="A575" s="10"/>
      <c r="B575" s="10"/>
      <c r="C575" s="10"/>
      <c r="D575" s="10"/>
      <c r="E575" s="10"/>
      <c r="F575" s="187"/>
      <c r="G575" s="188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</row>
    <row r="576" ht="12.75" customHeight="1">
      <c r="A576" s="10"/>
      <c r="B576" s="10"/>
      <c r="C576" s="10"/>
      <c r="D576" s="10"/>
      <c r="E576" s="10"/>
      <c r="F576" s="187"/>
      <c r="G576" s="188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</row>
    <row r="577" ht="12.75" customHeight="1">
      <c r="A577" s="10"/>
      <c r="B577" s="10"/>
      <c r="C577" s="10"/>
      <c r="D577" s="10"/>
      <c r="E577" s="10"/>
      <c r="F577" s="187"/>
      <c r="G577" s="188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</row>
    <row r="578" ht="12.75" customHeight="1">
      <c r="A578" s="10"/>
      <c r="B578" s="10"/>
      <c r="C578" s="10"/>
      <c r="D578" s="10"/>
      <c r="E578" s="10"/>
      <c r="F578" s="187"/>
      <c r="G578" s="188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</row>
    <row r="579" ht="12.75" customHeight="1">
      <c r="A579" s="10"/>
      <c r="B579" s="10"/>
      <c r="C579" s="10"/>
      <c r="D579" s="10"/>
      <c r="E579" s="10"/>
      <c r="F579" s="187"/>
      <c r="G579" s="188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</row>
    <row r="580" ht="12.75" customHeight="1">
      <c r="A580" s="10"/>
      <c r="B580" s="10"/>
      <c r="C580" s="10"/>
      <c r="D580" s="10"/>
      <c r="E580" s="10"/>
      <c r="F580" s="187"/>
      <c r="G580" s="188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</row>
    <row r="581" ht="12.75" customHeight="1">
      <c r="A581" s="10"/>
      <c r="B581" s="10"/>
      <c r="C581" s="10"/>
      <c r="D581" s="10"/>
      <c r="E581" s="10"/>
      <c r="F581" s="187"/>
      <c r="G581" s="188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</row>
    <row r="582" ht="12.75" customHeight="1">
      <c r="A582" s="10"/>
      <c r="B582" s="10"/>
      <c r="C582" s="10"/>
      <c r="D582" s="10"/>
      <c r="E582" s="10"/>
      <c r="F582" s="187"/>
      <c r="G582" s="188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</row>
    <row r="583" ht="12.75" customHeight="1">
      <c r="A583" s="10"/>
      <c r="B583" s="10"/>
      <c r="C583" s="10"/>
      <c r="D583" s="10"/>
      <c r="E583" s="10"/>
      <c r="F583" s="187"/>
      <c r="G583" s="188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</row>
    <row r="584" ht="12.75" customHeight="1">
      <c r="A584" s="10"/>
      <c r="B584" s="10"/>
      <c r="C584" s="10"/>
      <c r="D584" s="10"/>
      <c r="E584" s="10"/>
      <c r="F584" s="187"/>
      <c r="G584" s="188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</row>
    <row r="585" ht="12.75" customHeight="1">
      <c r="A585" s="10"/>
      <c r="B585" s="10"/>
      <c r="C585" s="10"/>
      <c r="D585" s="10"/>
      <c r="E585" s="10"/>
      <c r="F585" s="187"/>
      <c r="G585" s="188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</row>
    <row r="586" ht="12.75" customHeight="1">
      <c r="A586" s="10"/>
      <c r="B586" s="10"/>
      <c r="C586" s="10"/>
      <c r="D586" s="10"/>
      <c r="E586" s="10"/>
      <c r="F586" s="187"/>
      <c r="G586" s="188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</row>
    <row r="587" ht="12.75" customHeight="1">
      <c r="A587" s="10"/>
      <c r="B587" s="10"/>
      <c r="C587" s="10"/>
      <c r="D587" s="10"/>
      <c r="E587" s="10"/>
      <c r="F587" s="187"/>
      <c r="G587" s="188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</row>
    <row r="588" ht="12.75" customHeight="1">
      <c r="A588" s="10"/>
      <c r="B588" s="10"/>
      <c r="C588" s="10"/>
      <c r="D588" s="10"/>
      <c r="E588" s="10"/>
      <c r="F588" s="187"/>
      <c r="G588" s="188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</row>
    <row r="589" ht="12.75" customHeight="1">
      <c r="A589" s="10"/>
      <c r="B589" s="10"/>
      <c r="C589" s="10"/>
      <c r="D589" s="10"/>
      <c r="E589" s="10"/>
      <c r="F589" s="187"/>
      <c r="G589" s="188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</row>
    <row r="590" ht="12.75" customHeight="1">
      <c r="A590" s="10"/>
      <c r="B590" s="10"/>
      <c r="C590" s="10"/>
      <c r="D590" s="10"/>
      <c r="E590" s="10"/>
      <c r="F590" s="187"/>
      <c r="G590" s="188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</row>
    <row r="591" ht="12.75" customHeight="1">
      <c r="A591" s="10"/>
      <c r="B591" s="10"/>
      <c r="C591" s="10"/>
      <c r="D591" s="10"/>
      <c r="E591" s="10"/>
      <c r="F591" s="187"/>
      <c r="G591" s="188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</row>
    <row r="592" ht="12.75" customHeight="1">
      <c r="A592" s="10"/>
      <c r="B592" s="10"/>
      <c r="C592" s="10"/>
      <c r="D592" s="10"/>
      <c r="E592" s="10"/>
      <c r="F592" s="187"/>
      <c r="G592" s="188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</row>
    <row r="593" ht="12.75" customHeight="1">
      <c r="A593" s="10"/>
      <c r="B593" s="10"/>
      <c r="C593" s="10"/>
      <c r="D593" s="10"/>
      <c r="E593" s="10"/>
      <c r="F593" s="187"/>
      <c r="G593" s="188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</row>
    <row r="594" ht="12.75" customHeight="1">
      <c r="A594" s="10"/>
      <c r="B594" s="10"/>
      <c r="C594" s="10"/>
      <c r="D594" s="10"/>
      <c r="E594" s="10"/>
      <c r="F594" s="187"/>
      <c r="G594" s="188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</row>
    <row r="595" ht="12.75" customHeight="1">
      <c r="A595" s="10"/>
      <c r="B595" s="10"/>
      <c r="C595" s="10"/>
      <c r="D595" s="10"/>
      <c r="E595" s="10"/>
      <c r="F595" s="187"/>
      <c r="G595" s="188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</row>
    <row r="596" ht="12.75" customHeight="1">
      <c r="A596" s="10"/>
      <c r="B596" s="10"/>
      <c r="C596" s="10"/>
      <c r="D596" s="10"/>
      <c r="E596" s="10"/>
      <c r="F596" s="187"/>
      <c r="G596" s="188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</row>
    <row r="597" ht="12.75" customHeight="1">
      <c r="A597" s="10"/>
      <c r="B597" s="10"/>
      <c r="C597" s="10"/>
      <c r="D597" s="10"/>
      <c r="E597" s="10"/>
      <c r="F597" s="187"/>
      <c r="G597" s="188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</row>
    <row r="598" ht="12.75" customHeight="1">
      <c r="A598" s="10"/>
      <c r="B598" s="10"/>
      <c r="C598" s="10"/>
      <c r="D598" s="10"/>
      <c r="E598" s="10"/>
      <c r="F598" s="187"/>
      <c r="G598" s="188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</row>
    <row r="599" ht="12.75" customHeight="1">
      <c r="A599" s="10"/>
      <c r="B599" s="10"/>
      <c r="C599" s="10"/>
      <c r="D599" s="10"/>
      <c r="E599" s="10"/>
      <c r="F599" s="187"/>
      <c r="G599" s="188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</row>
    <row r="600" ht="12.75" customHeight="1">
      <c r="A600" s="10"/>
      <c r="B600" s="10"/>
      <c r="C600" s="10"/>
      <c r="D600" s="10"/>
      <c r="E600" s="10"/>
      <c r="F600" s="187"/>
      <c r="G600" s="188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</row>
    <row r="601" ht="12.75" customHeight="1">
      <c r="A601" s="10"/>
      <c r="B601" s="10"/>
      <c r="C601" s="10"/>
      <c r="D601" s="10"/>
      <c r="E601" s="10"/>
      <c r="F601" s="187"/>
      <c r="G601" s="188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</row>
    <row r="602" ht="12.75" customHeight="1">
      <c r="A602" s="10"/>
      <c r="B602" s="10"/>
      <c r="C602" s="10"/>
      <c r="D602" s="10"/>
      <c r="E602" s="10"/>
      <c r="F602" s="187"/>
      <c r="G602" s="188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</row>
    <row r="603" ht="12.75" customHeight="1">
      <c r="A603" s="10"/>
      <c r="B603" s="10"/>
      <c r="C603" s="10"/>
      <c r="D603" s="10"/>
      <c r="E603" s="10"/>
      <c r="F603" s="187"/>
      <c r="G603" s="188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</row>
    <row r="604" ht="12.75" customHeight="1">
      <c r="A604" s="10"/>
      <c r="B604" s="10"/>
      <c r="C604" s="10"/>
      <c r="D604" s="10"/>
      <c r="E604" s="10"/>
      <c r="F604" s="187"/>
      <c r="G604" s="188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</row>
    <row r="605" ht="12.75" customHeight="1">
      <c r="A605" s="10"/>
      <c r="B605" s="10"/>
      <c r="C605" s="10"/>
      <c r="D605" s="10"/>
      <c r="E605" s="10"/>
      <c r="F605" s="187"/>
      <c r="G605" s="188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</row>
    <row r="606" ht="12.75" customHeight="1">
      <c r="A606" s="10"/>
      <c r="B606" s="10"/>
      <c r="C606" s="10"/>
      <c r="D606" s="10"/>
      <c r="E606" s="10"/>
      <c r="F606" s="187"/>
      <c r="G606" s="188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</row>
    <row r="607" ht="12.75" customHeight="1">
      <c r="A607" s="10"/>
      <c r="B607" s="10"/>
      <c r="C607" s="10"/>
      <c r="D607" s="10"/>
      <c r="E607" s="10"/>
      <c r="F607" s="187"/>
      <c r="G607" s="188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</row>
    <row r="608" ht="12.75" customHeight="1">
      <c r="A608" s="10"/>
      <c r="B608" s="10"/>
      <c r="C608" s="10"/>
      <c r="D608" s="10"/>
      <c r="E608" s="10"/>
      <c r="F608" s="187"/>
      <c r="G608" s="188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</row>
    <row r="609" ht="12.75" customHeight="1">
      <c r="A609" s="10"/>
      <c r="B609" s="10"/>
      <c r="C609" s="10"/>
      <c r="D609" s="10"/>
      <c r="E609" s="10"/>
      <c r="F609" s="187"/>
      <c r="G609" s="188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</row>
    <row r="610" ht="12.75" customHeight="1">
      <c r="A610" s="10"/>
      <c r="B610" s="10"/>
      <c r="C610" s="10"/>
      <c r="D610" s="10"/>
      <c r="E610" s="10"/>
      <c r="F610" s="187"/>
      <c r="G610" s="188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</row>
    <row r="611" ht="12.75" customHeight="1">
      <c r="A611" s="10"/>
      <c r="B611" s="10"/>
      <c r="C611" s="10"/>
      <c r="D611" s="10"/>
      <c r="E611" s="10"/>
      <c r="F611" s="187"/>
      <c r="G611" s="188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</row>
    <row r="612" ht="12.75" customHeight="1">
      <c r="A612" s="10"/>
      <c r="B612" s="10"/>
      <c r="C612" s="10"/>
      <c r="D612" s="10"/>
      <c r="E612" s="10"/>
      <c r="F612" s="187"/>
      <c r="G612" s="188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</row>
    <row r="613" ht="12.75" customHeight="1">
      <c r="A613" s="10"/>
      <c r="B613" s="10"/>
      <c r="C613" s="10"/>
      <c r="D613" s="10"/>
      <c r="E613" s="10"/>
      <c r="F613" s="187"/>
      <c r="G613" s="188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</row>
    <row r="614" ht="12.75" customHeight="1">
      <c r="A614" s="10"/>
      <c r="B614" s="10"/>
      <c r="C614" s="10"/>
      <c r="D614" s="10"/>
      <c r="E614" s="10"/>
      <c r="F614" s="187"/>
      <c r="G614" s="188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</row>
    <row r="615" ht="12.75" customHeight="1">
      <c r="A615" s="10"/>
      <c r="B615" s="10"/>
      <c r="C615" s="10"/>
      <c r="D615" s="10"/>
      <c r="E615" s="10"/>
      <c r="F615" s="187"/>
      <c r="G615" s="188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</row>
    <row r="616" ht="12.75" customHeight="1">
      <c r="A616" s="10"/>
      <c r="B616" s="10"/>
      <c r="C616" s="10"/>
      <c r="D616" s="10"/>
      <c r="E616" s="10"/>
      <c r="F616" s="187"/>
      <c r="G616" s="188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</row>
    <row r="617" ht="12.75" customHeight="1">
      <c r="A617" s="10"/>
      <c r="B617" s="10"/>
      <c r="C617" s="10"/>
      <c r="D617" s="10"/>
      <c r="E617" s="10"/>
      <c r="F617" s="187"/>
      <c r="G617" s="188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</row>
    <row r="618" ht="12.75" customHeight="1">
      <c r="A618" s="10"/>
      <c r="B618" s="10"/>
      <c r="C618" s="10"/>
      <c r="D618" s="10"/>
      <c r="E618" s="10"/>
      <c r="F618" s="187"/>
      <c r="G618" s="188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</row>
    <row r="619" ht="12.75" customHeight="1">
      <c r="A619" s="10"/>
      <c r="B619" s="10"/>
      <c r="C619" s="10"/>
      <c r="D619" s="10"/>
      <c r="E619" s="10"/>
      <c r="F619" s="187"/>
      <c r="G619" s="188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</row>
    <row r="620" ht="12.75" customHeight="1">
      <c r="A620" s="10"/>
      <c r="B620" s="10"/>
      <c r="C620" s="10"/>
      <c r="D620" s="10"/>
      <c r="E620" s="10"/>
      <c r="F620" s="187"/>
      <c r="G620" s="188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</row>
    <row r="621" ht="12.75" customHeight="1">
      <c r="A621" s="10"/>
      <c r="B621" s="10"/>
      <c r="C621" s="10"/>
      <c r="D621" s="10"/>
      <c r="E621" s="10"/>
      <c r="F621" s="187"/>
      <c r="G621" s="188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</row>
    <row r="622" ht="12.75" customHeight="1">
      <c r="A622" s="10"/>
      <c r="B622" s="10"/>
      <c r="C622" s="10"/>
      <c r="D622" s="10"/>
      <c r="E622" s="10"/>
      <c r="F622" s="187"/>
      <c r="G622" s="188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</row>
    <row r="623" ht="12.75" customHeight="1">
      <c r="A623" s="10"/>
      <c r="B623" s="10"/>
      <c r="C623" s="10"/>
      <c r="D623" s="10"/>
      <c r="E623" s="10"/>
      <c r="F623" s="187"/>
      <c r="G623" s="188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</row>
    <row r="624" ht="12.75" customHeight="1">
      <c r="A624" s="10"/>
      <c r="B624" s="10"/>
      <c r="C624" s="10"/>
      <c r="D624" s="10"/>
      <c r="E624" s="10"/>
      <c r="F624" s="187"/>
      <c r="G624" s="188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</row>
    <row r="625" ht="12.75" customHeight="1">
      <c r="A625" s="10"/>
      <c r="B625" s="10"/>
      <c r="C625" s="10"/>
      <c r="D625" s="10"/>
      <c r="E625" s="10"/>
      <c r="F625" s="187"/>
      <c r="G625" s="188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</row>
    <row r="626" ht="12.75" customHeight="1">
      <c r="A626" s="10"/>
      <c r="B626" s="10"/>
      <c r="C626" s="10"/>
      <c r="D626" s="10"/>
      <c r="E626" s="10"/>
      <c r="F626" s="187"/>
      <c r="G626" s="188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</row>
    <row r="627" ht="12.75" customHeight="1">
      <c r="A627" s="10"/>
      <c r="B627" s="10"/>
      <c r="C627" s="10"/>
      <c r="D627" s="10"/>
      <c r="E627" s="10"/>
      <c r="F627" s="187"/>
      <c r="G627" s="188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</row>
    <row r="628" ht="12.75" customHeight="1">
      <c r="A628" s="10"/>
      <c r="B628" s="10"/>
      <c r="C628" s="10"/>
      <c r="D628" s="10"/>
      <c r="E628" s="10"/>
      <c r="F628" s="187"/>
      <c r="G628" s="188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</row>
    <row r="629" ht="12.75" customHeight="1">
      <c r="A629" s="10"/>
      <c r="B629" s="10"/>
      <c r="C629" s="10"/>
      <c r="D629" s="10"/>
      <c r="E629" s="10"/>
      <c r="F629" s="187"/>
      <c r="G629" s="188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</row>
    <row r="630" ht="12.75" customHeight="1">
      <c r="A630" s="10"/>
      <c r="B630" s="10"/>
      <c r="C630" s="10"/>
      <c r="D630" s="10"/>
      <c r="E630" s="10"/>
      <c r="F630" s="187"/>
      <c r="G630" s="188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</row>
    <row r="631" ht="12.75" customHeight="1">
      <c r="A631" s="10"/>
      <c r="B631" s="10"/>
      <c r="C631" s="10"/>
      <c r="D631" s="10"/>
      <c r="E631" s="10"/>
      <c r="F631" s="187"/>
      <c r="G631" s="188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</row>
    <row r="632" ht="12.75" customHeight="1">
      <c r="A632" s="10"/>
      <c r="B632" s="10"/>
      <c r="C632" s="10"/>
      <c r="D632" s="10"/>
      <c r="E632" s="10"/>
      <c r="F632" s="187"/>
      <c r="G632" s="188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</row>
    <row r="633" ht="12.75" customHeight="1">
      <c r="A633" s="10"/>
      <c r="B633" s="10"/>
      <c r="C633" s="10"/>
      <c r="D633" s="10"/>
      <c r="E633" s="10"/>
      <c r="F633" s="187"/>
      <c r="G633" s="188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</row>
    <row r="634" ht="12.75" customHeight="1">
      <c r="A634" s="10"/>
      <c r="B634" s="10"/>
      <c r="C634" s="10"/>
      <c r="D634" s="10"/>
      <c r="E634" s="10"/>
      <c r="F634" s="187"/>
      <c r="G634" s="188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</row>
    <row r="635" ht="12.75" customHeight="1">
      <c r="A635" s="10"/>
      <c r="B635" s="10"/>
      <c r="C635" s="10"/>
      <c r="D635" s="10"/>
      <c r="E635" s="10"/>
      <c r="F635" s="187"/>
      <c r="G635" s="188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</row>
    <row r="636" ht="12.75" customHeight="1">
      <c r="A636" s="10"/>
      <c r="B636" s="10"/>
      <c r="C636" s="10"/>
      <c r="D636" s="10"/>
      <c r="E636" s="10"/>
      <c r="F636" s="187"/>
      <c r="G636" s="188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</row>
    <row r="637" ht="12.75" customHeight="1">
      <c r="A637" s="10"/>
      <c r="B637" s="10"/>
      <c r="C637" s="10"/>
      <c r="D637" s="10"/>
      <c r="E637" s="10"/>
      <c r="F637" s="187"/>
      <c r="G637" s="188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</row>
    <row r="638" ht="12.75" customHeight="1">
      <c r="A638" s="10"/>
      <c r="B638" s="10"/>
      <c r="C638" s="10"/>
      <c r="D638" s="10"/>
      <c r="E638" s="10"/>
      <c r="F638" s="187"/>
      <c r="G638" s="188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</row>
    <row r="639" ht="12.75" customHeight="1">
      <c r="A639" s="10"/>
      <c r="B639" s="10"/>
      <c r="C639" s="10"/>
      <c r="D639" s="10"/>
      <c r="E639" s="10"/>
      <c r="F639" s="187"/>
      <c r="G639" s="188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</row>
    <row r="640" ht="12.75" customHeight="1">
      <c r="A640" s="10"/>
      <c r="B640" s="10"/>
      <c r="C640" s="10"/>
      <c r="D640" s="10"/>
      <c r="E640" s="10"/>
      <c r="F640" s="187"/>
      <c r="G640" s="188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</row>
    <row r="641" ht="12.75" customHeight="1">
      <c r="A641" s="10"/>
      <c r="B641" s="10"/>
      <c r="C641" s="10"/>
      <c r="D641" s="10"/>
      <c r="E641" s="10"/>
      <c r="F641" s="187"/>
      <c r="G641" s="188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</row>
    <row r="642" ht="12.75" customHeight="1">
      <c r="A642" s="10"/>
      <c r="B642" s="10"/>
      <c r="C642" s="10"/>
      <c r="D642" s="10"/>
      <c r="E642" s="10"/>
      <c r="F642" s="187"/>
      <c r="G642" s="188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</row>
    <row r="643" ht="12.75" customHeight="1">
      <c r="A643" s="10"/>
      <c r="B643" s="10"/>
      <c r="C643" s="10"/>
      <c r="D643" s="10"/>
      <c r="E643" s="10"/>
      <c r="F643" s="187"/>
      <c r="G643" s="188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</row>
    <row r="644" ht="12.75" customHeight="1">
      <c r="A644" s="10"/>
      <c r="B644" s="10"/>
      <c r="C644" s="10"/>
      <c r="D644" s="10"/>
      <c r="E644" s="10"/>
      <c r="F644" s="187"/>
      <c r="G644" s="188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</row>
    <row r="645" ht="12.75" customHeight="1">
      <c r="A645" s="10"/>
      <c r="B645" s="10"/>
      <c r="C645" s="10"/>
      <c r="D645" s="10"/>
      <c r="E645" s="10"/>
      <c r="F645" s="187"/>
      <c r="G645" s="188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</row>
    <row r="646" ht="12.75" customHeight="1">
      <c r="A646" s="10"/>
      <c r="B646" s="10"/>
      <c r="C646" s="10"/>
      <c r="D646" s="10"/>
      <c r="E646" s="10"/>
      <c r="F646" s="187"/>
      <c r="G646" s="188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</row>
    <row r="647" ht="12.75" customHeight="1">
      <c r="A647" s="10"/>
      <c r="B647" s="10"/>
      <c r="C647" s="10"/>
      <c r="D647" s="10"/>
      <c r="E647" s="10"/>
      <c r="F647" s="187"/>
      <c r="G647" s="188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</row>
    <row r="648" ht="12.75" customHeight="1">
      <c r="A648" s="10"/>
      <c r="B648" s="10"/>
      <c r="C648" s="10"/>
      <c r="D648" s="10"/>
      <c r="E648" s="10"/>
      <c r="F648" s="187"/>
      <c r="G648" s="188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</row>
    <row r="649" ht="12.75" customHeight="1">
      <c r="A649" s="10"/>
      <c r="B649" s="10"/>
      <c r="C649" s="10"/>
      <c r="D649" s="10"/>
      <c r="E649" s="10"/>
      <c r="F649" s="187"/>
      <c r="G649" s="188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</row>
    <row r="650" ht="12.75" customHeight="1">
      <c r="A650" s="10"/>
      <c r="B650" s="10"/>
      <c r="C650" s="10"/>
      <c r="D650" s="10"/>
      <c r="E650" s="10"/>
      <c r="F650" s="187"/>
      <c r="G650" s="188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</row>
    <row r="651" ht="12.75" customHeight="1">
      <c r="A651" s="10"/>
      <c r="B651" s="10"/>
      <c r="C651" s="10"/>
      <c r="D651" s="10"/>
      <c r="E651" s="10"/>
      <c r="F651" s="187"/>
      <c r="G651" s="188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</row>
    <row r="652" ht="12.75" customHeight="1">
      <c r="A652" s="10"/>
      <c r="B652" s="10"/>
      <c r="C652" s="10"/>
      <c r="D652" s="10"/>
      <c r="E652" s="10"/>
      <c r="F652" s="187"/>
      <c r="G652" s="188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</row>
    <row r="653" ht="12.75" customHeight="1">
      <c r="A653" s="10"/>
      <c r="B653" s="10"/>
      <c r="C653" s="10"/>
      <c r="D653" s="10"/>
      <c r="E653" s="10"/>
      <c r="F653" s="187"/>
      <c r="G653" s="188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</row>
    <row r="654" ht="12.75" customHeight="1">
      <c r="A654" s="10"/>
      <c r="B654" s="10"/>
      <c r="C654" s="10"/>
      <c r="D654" s="10"/>
      <c r="E654" s="10"/>
      <c r="F654" s="187"/>
      <c r="G654" s="188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</row>
    <row r="655" ht="12.75" customHeight="1">
      <c r="A655" s="10"/>
      <c r="B655" s="10"/>
      <c r="C655" s="10"/>
      <c r="D655" s="10"/>
      <c r="E655" s="10"/>
      <c r="F655" s="187"/>
      <c r="G655" s="188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</row>
    <row r="656" ht="12.75" customHeight="1">
      <c r="A656" s="10"/>
      <c r="B656" s="10"/>
      <c r="C656" s="10"/>
      <c r="D656" s="10"/>
      <c r="E656" s="10"/>
      <c r="F656" s="187"/>
      <c r="G656" s="188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</row>
    <row r="657" ht="12.75" customHeight="1">
      <c r="A657" s="10"/>
      <c r="B657" s="10"/>
      <c r="C657" s="10"/>
      <c r="D657" s="10"/>
      <c r="E657" s="10"/>
      <c r="F657" s="187"/>
      <c r="G657" s="188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</row>
    <row r="658" ht="12.75" customHeight="1">
      <c r="A658" s="10"/>
      <c r="B658" s="10"/>
      <c r="C658" s="10"/>
      <c r="D658" s="10"/>
      <c r="E658" s="10"/>
      <c r="F658" s="187"/>
      <c r="G658" s="188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</row>
    <row r="659" ht="12.75" customHeight="1">
      <c r="A659" s="10"/>
      <c r="B659" s="10"/>
      <c r="C659" s="10"/>
      <c r="D659" s="10"/>
      <c r="E659" s="10"/>
      <c r="F659" s="187"/>
      <c r="G659" s="188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</row>
    <row r="660" ht="12.75" customHeight="1">
      <c r="A660" s="10"/>
      <c r="B660" s="10"/>
      <c r="C660" s="10"/>
      <c r="D660" s="10"/>
      <c r="E660" s="10"/>
      <c r="F660" s="187"/>
      <c r="G660" s="188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</row>
    <row r="661" ht="12.75" customHeight="1">
      <c r="A661" s="10"/>
      <c r="B661" s="10"/>
      <c r="C661" s="10"/>
      <c r="D661" s="10"/>
      <c r="E661" s="10"/>
      <c r="F661" s="187"/>
      <c r="G661" s="188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</row>
    <row r="662" ht="12.75" customHeight="1">
      <c r="A662" s="10"/>
      <c r="B662" s="10"/>
      <c r="C662" s="10"/>
      <c r="D662" s="10"/>
      <c r="E662" s="10"/>
      <c r="F662" s="187"/>
      <c r="G662" s="188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</row>
    <row r="663" ht="12.75" customHeight="1">
      <c r="A663" s="10"/>
      <c r="B663" s="10"/>
      <c r="C663" s="10"/>
      <c r="D663" s="10"/>
      <c r="E663" s="10"/>
      <c r="F663" s="187"/>
      <c r="G663" s="188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</row>
    <row r="664" ht="12.75" customHeight="1">
      <c r="A664" s="10"/>
      <c r="B664" s="10"/>
      <c r="C664" s="10"/>
      <c r="D664" s="10"/>
      <c r="E664" s="10"/>
      <c r="F664" s="187"/>
      <c r="G664" s="188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</row>
    <row r="665" ht="12.75" customHeight="1">
      <c r="A665" s="10"/>
      <c r="B665" s="10"/>
      <c r="C665" s="10"/>
      <c r="D665" s="10"/>
      <c r="E665" s="10"/>
      <c r="F665" s="187"/>
      <c r="G665" s="188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</row>
    <row r="666" ht="12.75" customHeight="1">
      <c r="A666" s="10"/>
      <c r="B666" s="10"/>
      <c r="C666" s="10"/>
      <c r="D666" s="10"/>
      <c r="E666" s="10"/>
      <c r="F666" s="187"/>
      <c r="G666" s="188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</row>
    <row r="667" ht="12.75" customHeight="1">
      <c r="A667" s="10"/>
      <c r="B667" s="10"/>
      <c r="C667" s="10"/>
      <c r="D667" s="10"/>
      <c r="E667" s="10"/>
      <c r="F667" s="187"/>
      <c r="G667" s="188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</row>
    <row r="668" ht="12.75" customHeight="1">
      <c r="A668" s="10"/>
      <c r="B668" s="10"/>
      <c r="C668" s="10"/>
      <c r="D668" s="10"/>
      <c r="E668" s="10"/>
      <c r="F668" s="187"/>
      <c r="G668" s="188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</row>
    <row r="669" ht="12.75" customHeight="1">
      <c r="A669" s="10"/>
      <c r="B669" s="10"/>
      <c r="C669" s="10"/>
      <c r="D669" s="10"/>
      <c r="E669" s="10"/>
      <c r="F669" s="187"/>
      <c r="G669" s="188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</row>
    <row r="670" ht="12.75" customHeight="1">
      <c r="A670" s="10"/>
      <c r="B670" s="10"/>
      <c r="C670" s="10"/>
      <c r="D670" s="10"/>
      <c r="E670" s="10"/>
      <c r="F670" s="187"/>
      <c r="G670" s="188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</row>
    <row r="671" ht="12.75" customHeight="1">
      <c r="A671" s="10"/>
      <c r="B671" s="10"/>
      <c r="C671" s="10"/>
      <c r="D671" s="10"/>
      <c r="E671" s="10"/>
      <c r="F671" s="187"/>
      <c r="G671" s="188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</row>
    <row r="672" ht="12.75" customHeight="1">
      <c r="A672" s="10"/>
      <c r="B672" s="10"/>
      <c r="C672" s="10"/>
      <c r="D672" s="10"/>
      <c r="E672" s="10"/>
      <c r="F672" s="187"/>
      <c r="G672" s="188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</row>
    <row r="673" ht="12.75" customHeight="1">
      <c r="A673" s="10"/>
      <c r="B673" s="10"/>
      <c r="C673" s="10"/>
      <c r="D673" s="10"/>
      <c r="E673" s="10"/>
      <c r="F673" s="187"/>
      <c r="G673" s="188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</row>
    <row r="674" ht="12.75" customHeight="1">
      <c r="A674" s="10"/>
      <c r="B674" s="10"/>
      <c r="C674" s="10"/>
      <c r="D674" s="10"/>
      <c r="E674" s="10"/>
      <c r="F674" s="187"/>
      <c r="G674" s="188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</row>
    <row r="675" ht="12.75" customHeight="1">
      <c r="A675" s="10"/>
      <c r="B675" s="10"/>
      <c r="C675" s="10"/>
      <c r="D675" s="10"/>
      <c r="E675" s="10"/>
      <c r="F675" s="187"/>
      <c r="G675" s="188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</row>
    <row r="676" ht="12.75" customHeight="1">
      <c r="A676" s="10"/>
      <c r="B676" s="10"/>
      <c r="C676" s="10"/>
      <c r="D676" s="10"/>
      <c r="E676" s="10"/>
      <c r="F676" s="187"/>
      <c r="G676" s="188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</row>
    <row r="677" ht="12.75" customHeight="1">
      <c r="A677" s="10"/>
      <c r="B677" s="10"/>
      <c r="C677" s="10"/>
      <c r="D677" s="10"/>
      <c r="E677" s="10"/>
      <c r="F677" s="187"/>
      <c r="G677" s="188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</row>
    <row r="678" ht="12.75" customHeight="1">
      <c r="A678" s="10"/>
      <c r="B678" s="10"/>
      <c r="C678" s="10"/>
      <c r="D678" s="10"/>
      <c r="E678" s="10"/>
      <c r="F678" s="187"/>
      <c r="G678" s="188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</row>
    <row r="679" ht="12.75" customHeight="1">
      <c r="A679" s="10"/>
      <c r="B679" s="10"/>
      <c r="C679" s="10"/>
      <c r="D679" s="10"/>
      <c r="E679" s="10"/>
      <c r="F679" s="187"/>
      <c r="G679" s="188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</row>
    <row r="680" ht="12.75" customHeight="1">
      <c r="A680" s="10"/>
      <c r="B680" s="10"/>
      <c r="C680" s="10"/>
      <c r="D680" s="10"/>
      <c r="E680" s="10"/>
      <c r="F680" s="187"/>
      <c r="G680" s="188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</row>
    <row r="681" ht="12.75" customHeight="1">
      <c r="A681" s="10"/>
      <c r="B681" s="10"/>
      <c r="C681" s="10"/>
      <c r="D681" s="10"/>
      <c r="E681" s="10"/>
      <c r="F681" s="187"/>
      <c r="G681" s="188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</row>
    <row r="682" ht="12.75" customHeight="1">
      <c r="A682" s="10"/>
      <c r="B682" s="10"/>
      <c r="C682" s="10"/>
      <c r="D682" s="10"/>
      <c r="E682" s="10"/>
      <c r="F682" s="187"/>
      <c r="G682" s="188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</row>
    <row r="683" ht="12.75" customHeight="1">
      <c r="A683" s="10"/>
      <c r="B683" s="10"/>
      <c r="C683" s="10"/>
      <c r="D683" s="10"/>
      <c r="E683" s="10"/>
      <c r="F683" s="187"/>
      <c r="G683" s="188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</row>
    <row r="684" ht="12.75" customHeight="1">
      <c r="A684" s="10"/>
      <c r="B684" s="10"/>
      <c r="C684" s="10"/>
      <c r="D684" s="10"/>
      <c r="E684" s="10"/>
      <c r="F684" s="187"/>
      <c r="G684" s="188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</row>
    <row r="685" ht="12.75" customHeight="1">
      <c r="A685" s="10"/>
      <c r="B685" s="10"/>
      <c r="C685" s="10"/>
      <c r="D685" s="10"/>
      <c r="E685" s="10"/>
      <c r="F685" s="187"/>
      <c r="G685" s="188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</row>
    <row r="686" ht="12.75" customHeight="1">
      <c r="A686" s="10"/>
      <c r="B686" s="10"/>
      <c r="C686" s="10"/>
      <c r="D686" s="10"/>
      <c r="E686" s="10"/>
      <c r="F686" s="187"/>
      <c r="G686" s="188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</row>
    <row r="687" ht="12.75" customHeight="1">
      <c r="A687" s="10"/>
      <c r="B687" s="10"/>
      <c r="C687" s="10"/>
      <c r="D687" s="10"/>
      <c r="E687" s="10"/>
      <c r="F687" s="187"/>
      <c r="G687" s="188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</row>
    <row r="688" ht="12.75" customHeight="1">
      <c r="A688" s="10"/>
      <c r="B688" s="10"/>
      <c r="C688" s="10"/>
      <c r="D688" s="10"/>
      <c r="E688" s="10"/>
      <c r="F688" s="187"/>
      <c r="G688" s="188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</row>
    <row r="689" ht="12.75" customHeight="1">
      <c r="A689" s="10"/>
      <c r="B689" s="10"/>
      <c r="C689" s="10"/>
      <c r="D689" s="10"/>
      <c r="E689" s="10"/>
      <c r="F689" s="187"/>
      <c r="G689" s="188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</row>
    <row r="690" ht="12.75" customHeight="1">
      <c r="A690" s="10"/>
      <c r="B690" s="10"/>
      <c r="C690" s="10"/>
      <c r="D690" s="10"/>
      <c r="E690" s="10"/>
      <c r="F690" s="187"/>
      <c r="G690" s="188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</row>
    <row r="691" ht="12.75" customHeight="1">
      <c r="A691" s="10"/>
      <c r="B691" s="10"/>
      <c r="C691" s="10"/>
      <c r="D691" s="10"/>
      <c r="E691" s="10"/>
      <c r="F691" s="187"/>
      <c r="G691" s="188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</row>
    <row r="692" ht="12.75" customHeight="1">
      <c r="A692" s="10"/>
      <c r="B692" s="10"/>
      <c r="C692" s="10"/>
      <c r="D692" s="10"/>
      <c r="E692" s="10"/>
      <c r="F692" s="187"/>
      <c r="G692" s="188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</row>
    <row r="693" ht="12.75" customHeight="1">
      <c r="A693" s="10"/>
      <c r="B693" s="10"/>
      <c r="C693" s="10"/>
      <c r="D693" s="10"/>
      <c r="E693" s="10"/>
      <c r="F693" s="187"/>
      <c r="G693" s="188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</row>
    <row r="694" ht="12.75" customHeight="1">
      <c r="A694" s="10"/>
      <c r="B694" s="10"/>
      <c r="C694" s="10"/>
      <c r="D694" s="10"/>
      <c r="E694" s="10"/>
      <c r="F694" s="187"/>
      <c r="G694" s="188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</row>
    <row r="695" ht="12.75" customHeight="1">
      <c r="A695" s="10"/>
      <c r="B695" s="10"/>
      <c r="C695" s="10"/>
      <c r="D695" s="10"/>
      <c r="E695" s="10"/>
      <c r="F695" s="187"/>
      <c r="G695" s="188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</row>
    <row r="696" ht="12.75" customHeight="1">
      <c r="A696" s="10"/>
      <c r="B696" s="10"/>
      <c r="C696" s="10"/>
      <c r="D696" s="10"/>
      <c r="E696" s="10"/>
      <c r="F696" s="187"/>
      <c r="G696" s="188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</row>
    <row r="697" ht="12.75" customHeight="1">
      <c r="A697" s="10"/>
      <c r="B697" s="10"/>
      <c r="C697" s="10"/>
      <c r="D697" s="10"/>
      <c r="E697" s="10"/>
      <c r="F697" s="187"/>
      <c r="G697" s="188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</row>
    <row r="698" ht="12.75" customHeight="1">
      <c r="A698" s="10"/>
      <c r="B698" s="10"/>
      <c r="C698" s="10"/>
      <c r="D698" s="10"/>
      <c r="E698" s="10"/>
      <c r="F698" s="187"/>
      <c r="G698" s="188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</row>
    <row r="699" ht="12.75" customHeight="1">
      <c r="A699" s="10"/>
      <c r="B699" s="10"/>
      <c r="C699" s="10"/>
      <c r="D699" s="10"/>
      <c r="E699" s="10"/>
      <c r="F699" s="187"/>
      <c r="G699" s="188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</row>
    <row r="700" ht="12.75" customHeight="1">
      <c r="A700" s="10"/>
      <c r="B700" s="10"/>
      <c r="C700" s="10"/>
      <c r="D700" s="10"/>
      <c r="E700" s="10"/>
      <c r="F700" s="187"/>
      <c r="G700" s="188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</row>
    <row r="701" ht="12.75" customHeight="1">
      <c r="A701" s="10"/>
      <c r="B701" s="10"/>
      <c r="C701" s="10"/>
      <c r="D701" s="10"/>
      <c r="E701" s="10"/>
      <c r="F701" s="187"/>
      <c r="G701" s="188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</row>
    <row r="702" ht="12.75" customHeight="1">
      <c r="A702" s="10"/>
      <c r="B702" s="10"/>
      <c r="C702" s="10"/>
      <c r="D702" s="10"/>
      <c r="E702" s="10"/>
      <c r="F702" s="187"/>
      <c r="G702" s="188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</row>
    <row r="703" ht="12.75" customHeight="1">
      <c r="A703" s="10"/>
      <c r="B703" s="10"/>
      <c r="C703" s="10"/>
      <c r="D703" s="10"/>
      <c r="E703" s="10"/>
      <c r="F703" s="187"/>
      <c r="G703" s="188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</row>
    <row r="704" ht="12.75" customHeight="1">
      <c r="A704" s="10"/>
      <c r="B704" s="10"/>
      <c r="C704" s="10"/>
      <c r="D704" s="10"/>
      <c r="E704" s="10"/>
      <c r="F704" s="187"/>
      <c r="G704" s="188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</row>
    <row r="705" ht="12.75" customHeight="1">
      <c r="A705" s="10"/>
      <c r="B705" s="10"/>
      <c r="C705" s="10"/>
      <c r="D705" s="10"/>
      <c r="E705" s="10"/>
      <c r="F705" s="187"/>
      <c r="G705" s="188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</row>
    <row r="706" ht="12.75" customHeight="1">
      <c r="A706" s="10"/>
      <c r="B706" s="10"/>
      <c r="C706" s="10"/>
      <c r="D706" s="10"/>
      <c r="E706" s="10"/>
      <c r="F706" s="187"/>
      <c r="G706" s="188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</row>
    <row r="707" ht="12.75" customHeight="1">
      <c r="A707" s="10"/>
      <c r="B707" s="10"/>
      <c r="C707" s="10"/>
      <c r="D707" s="10"/>
      <c r="E707" s="10"/>
      <c r="F707" s="187"/>
      <c r="G707" s="188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</row>
    <row r="708" ht="12.75" customHeight="1">
      <c r="A708" s="10"/>
      <c r="B708" s="10"/>
      <c r="C708" s="10"/>
      <c r="D708" s="10"/>
      <c r="E708" s="10"/>
      <c r="F708" s="187"/>
      <c r="G708" s="188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</row>
    <row r="709" ht="12.75" customHeight="1">
      <c r="A709" s="10"/>
      <c r="B709" s="10"/>
      <c r="C709" s="10"/>
      <c r="D709" s="10"/>
      <c r="E709" s="10"/>
      <c r="F709" s="187"/>
      <c r="G709" s="188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</row>
    <row r="710" ht="12.75" customHeight="1">
      <c r="A710" s="10"/>
      <c r="B710" s="10"/>
      <c r="C710" s="10"/>
      <c r="D710" s="10"/>
      <c r="E710" s="10"/>
      <c r="F710" s="187"/>
      <c r="G710" s="188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</row>
    <row r="711" ht="12.75" customHeight="1">
      <c r="A711" s="10"/>
      <c r="B711" s="10"/>
      <c r="C711" s="10"/>
      <c r="D711" s="10"/>
      <c r="E711" s="10"/>
      <c r="F711" s="187"/>
      <c r="G711" s="188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</row>
    <row r="712" ht="12.75" customHeight="1">
      <c r="A712" s="10"/>
      <c r="B712" s="10"/>
      <c r="C712" s="10"/>
      <c r="D712" s="10"/>
      <c r="E712" s="10"/>
      <c r="F712" s="187"/>
      <c r="G712" s="188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</row>
    <row r="713" ht="12.75" customHeight="1">
      <c r="A713" s="10"/>
      <c r="B713" s="10"/>
      <c r="C713" s="10"/>
      <c r="D713" s="10"/>
      <c r="E713" s="10"/>
      <c r="F713" s="187"/>
      <c r="G713" s="188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</row>
    <row r="714" ht="12.75" customHeight="1">
      <c r="A714" s="10"/>
      <c r="B714" s="10"/>
      <c r="C714" s="10"/>
      <c r="D714" s="10"/>
      <c r="E714" s="10"/>
      <c r="F714" s="187"/>
      <c r="G714" s="188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</row>
    <row r="715" ht="12.75" customHeight="1">
      <c r="A715" s="10"/>
      <c r="B715" s="10"/>
      <c r="C715" s="10"/>
      <c r="D715" s="10"/>
      <c r="E715" s="10"/>
      <c r="F715" s="187"/>
      <c r="G715" s="188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</row>
    <row r="716" ht="12.75" customHeight="1">
      <c r="A716" s="10"/>
      <c r="B716" s="10"/>
      <c r="C716" s="10"/>
      <c r="D716" s="10"/>
      <c r="E716" s="10"/>
      <c r="F716" s="187"/>
      <c r="G716" s="188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</row>
    <row r="717" ht="12.75" customHeight="1">
      <c r="A717" s="10"/>
      <c r="B717" s="10"/>
      <c r="C717" s="10"/>
      <c r="D717" s="10"/>
      <c r="E717" s="10"/>
      <c r="F717" s="187"/>
      <c r="G717" s="188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</row>
    <row r="718" ht="12.75" customHeight="1">
      <c r="A718" s="10"/>
      <c r="B718" s="10"/>
      <c r="C718" s="10"/>
      <c r="D718" s="10"/>
      <c r="E718" s="10"/>
      <c r="F718" s="187"/>
      <c r="G718" s="188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</row>
    <row r="719" ht="12.75" customHeight="1">
      <c r="A719" s="10"/>
      <c r="B719" s="10"/>
      <c r="C719" s="10"/>
      <c r="D719" s="10"/>
      <c r="E719" s="10"/>
      <c r="F719" s="187"/>
      <c r="G719" s="188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</row>
    <row r="720" ht="12.75" customHeight="1">
      <c r="A720" s="10"/>
      <c r="B720" s="10"/>
      <c r="C720" s="10"/>
      <c r="D720" s="10"/>
      <c r="E720" s="10"/>
      <c r="F720" s="187"/>
      <c r="G720" s="188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</row>
    <row r="721" ht="12.75" customHeight="1">
      <c r="A721" s="10"/>
      <c r="B721" s="10"/>
      <c r="C721" s="10"/>
      <c r="D721" s="10"/>
      <c r="E721" s="10"/>
      <c r="F721" s="187"/>
      <c r="G721" s="188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</row>
    <row r="722" ht="12.75" customHeight="1">
      <c r="A722" s="10"/>
      <c r="B722" s="10"/>
      <c r="C722" s="10"/>
      <c r="D722" s="10"/>
      <c r="E722" s="10"/>
      <c r="F722" s="187"/>
      <c r="G722" s="188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</row>
    <row r="723" ht="12.75" customHeight="1">
      <c r="A723" s="10"/>
      <c r="B723" s="10"/>
      <c r="C723" s="10"/>
      <c r="D723" s="10"/>
      <c r="E723" s="10"/>
      <c r="F723" s="187"/>
      <c r="G723" s="188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</row>
    <row r="724" ht="12.75" customHeight="1">
      <c r="A724" s="10"/>
      <c r="B724" s="10"/>
      <c r="C724" s="10"/>
      <c r="D724" s="10"/>
      <c r="E724" s="10"/>
      <c r="F724" s="187"/>
      <c r="G724" s="188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</row>
    <row r="725" ht="12.75" customHeight="1">
      <c r="A725" s="10"/>
      <c r="B725" s="10"/>
      <c r="C725" s="10"/>
      <c r="D725" s="10"/>
      <c r="E725" s="10"/>
      <c r="F725" s="187"/>
      <c r="G725" s="188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</row>
    <row r="726" ht="12.75" customHeight="1">
      <c r="A726" s="10"/>
      <c r="B726" s="10"/>
      <c r="C726" s="10"/>
      <c r="D726" s="10"/>
      <c r="E726" s="10"/>
      <c r="F726" s="187"/>
      <c r="G726" s="188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</row>
    <row r="727" ht="12.75" customHeight="1">
      <c r="A727" s="10"/>
      <c r="B727" s="10"/>
      <c r="C727" s="10"/>
      <c r="D727" s="10"/>
      <c r="E727" s="10"/>
      <c r="F727" s="187"/>
      <c r="G727" s="188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</row>
    <row r="728" ht="12.75" customHeight="1">
      <c r="A728" s="10"/>
      <c r="B728" s="10"/>
      <c r="C728" s="10"/>
      <c r="D728" s="10"/>
      <c r="E728" s="10"/>
      <c r="F728" s="187"/>
      <c r="G728" s="188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</row>
    <row r="729" ht="12.75" customHeight="1">
      <c r="A729" s="10"/>
      <c r="B729" s="10"/>
      <c r="C729" s="10"/>
      <c r="D729" s="10"/>
      <c r="E729" s="10"/>
      <c r="F729" s="187"/>
      <c r="G729" s="188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</row>
    <row r="730" ht="12.75" customHeight="1">
      <c r="A730" s="10"/>
      <c r="B730" s="10"/>
      <c r="C730" s="10"/>
      <c r="D730" s="10"/>
      <c r="E730" s="10"/>
      <c r="F730" s="187"/>
      <c r="G730" s="188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</row>
    <row r="731" ht="12.75" customHeight="1">
      <c r="A731" s="10"/>
      <c r="B731" s="10"/>
      <c r="C731" s="10"/>
      <c r="D731" s="10"/>
      <c r="E731" s="10"/>
      <c r="F731" s="187"/>
      <c r="G731" s="188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</row>
    <row r="732" ht="12.75" customHeight="1">
      <c r="A732" s="10"/>
      <c r="B732" s="10"/>
      <c r="C732" s="10"/>
      <c r="D732" s="10"/>
      <c r="E732" s="10"/>
      <c r="F732" s="187"/>
      <c r="G732" s="188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</row>
    <row r="733" ht="12.75" customHeight="1">
      <c r="A733" s="10"/>
      <c r="B733" s="10"/>
      <c r="C733" s="10"/>
      <c r="D733" s="10"/>
      <c r="E733" s="10"/>
      <c r="F733" s="187"/>
      <c r="G733" s="188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</row>
    <row r="734" ht="12.75" customHeight="1">
      <c r="A734" s="10"/>
      <c r="B734" s="10"/>
      <c r="C734" s="10"/>
      <c r="D734" s="10"/>
      <c r="E734" s="10"/>
      <c r="F734" s="187"/>
      <c r="G734" s="188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</row>
    <row r="735" ht="12.75" customHeight="1">
      <c r="A735" s="10"/>
      <c r="B735" s="10"/>
      <c r="C735" s="10"/>
      <c r="D735" s="10"/>
      <c r="E735" s="10"/>
      <c r="F735" s="187"/>
      <c r="G735" s="188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</row>
    <row r="736" ht="12.75" customHeight="1">
      <c r="A736" s="10"/>
      <c r="B736" s="10"/>
      <c r="C736" s="10"/>
      <c r="D736" s="10"/>
      <c r="E736" s="10"/>
      <c r="F736" s="187"/>
      <c r="G736" s="188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</row>
    <row r="737" ht="12.75" customHeight="1">
      <c r="A737" s="10"/>
      <c r="B737" s="10"/>
      <c r="C737" s="10"/>
      <c r="D737" s="10"/>
      <c r="E737" s="10"/>
      <c r="F737" s="187"/>
      <c r="G737" s="188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</row>
    <row r="738" ht="12.75" customHeight="1">
      <c r="A738" s="10"/>
      <c r="B738" s="10"/>
      <c r="C738" s="10"/>
      <c r="D738" s="10"/>
      <c r="E738" s="10"/>
      <c r="F738" s="187"/>
      <c r="G738" s="188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</row>
    <row r="739" ht="12.75" customHeight="1">
      <c r="A739" s="10"/>
      <c r="B739" s="10"/>
      <c r="C739" s="10"/>
      <c r="D739" s="10"/>
      <c r="E739" s="10"/>
      <c r="F739" s="187"/>
      <c r="G739" s="188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</row>
    <row r="740" ht="12.75" customHeight="1">
      <c r="A740" s="10"/>
      <c r="B740" s="10"/>
      <c r="C740" s="10"/>
      <c r="D740" s="10"/>
      <c r="E740" s="10"/>
      <c r="F740" s="187"/>
      <c r="G740" s="188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</row>
    <row r="741" ht="12.75" customHeight="1">
      <c r="A741" s="10"/>
      <c r="B741" s="10"/>
      <c r="C741" s="10"/>
      <c r="D741" s="10"/>
      <c r="E741" s="10"/>
      <c r="F741" s="187"/>
      <c r="G741" s="188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</row>
    <row r="742" ht="12.75" customHeight="1">
      <c r="A742" s="10"/>
      <c r="B742" s="10"/>
      <c r="C742" s="10"/>
      <c r="D742" s="10"/>
      <c r="E742" s="10"/>
      <c r="F742" s="187"/>
      <c r="G742" s="188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</row>
    <row r="743" ht="12.75" customHeight="1">
      <c r="A743" s="10"/>
      <c r="B743" s="10"/>
      <c r="C743" s="10"/>
      <c r="D743" s="10"/>
      <c r="E743" s="10"/>
      <c r="F743" s="187"/>
      <c r="G743" s="188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</row>
    <row r="744" ht="12.75" customHeight="1">
      <c r="A744" s="10"/>
      <c r="B744" s="10"/>
      <c r="C744" s="10"/>
      <c r="D744" s="10"/>
      <c r="E744" s="10"/>
      <c r="F744" s="187"/>
      <c r="G744" s="188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</row>
    <row r="745" ht="12.75" customHeight="1">
      <c r="A745" s="10"/>
      <c r="B745" s="10"/>
      <c r="C745" s="10"/>
      <c r="D745" s="10"/>
      <c r="E745" s="10"/>
      <c r="F745" s="187"/>
      <c r="G745" s="188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</row>
    <row r="746" ht="12.75" customHeight="1">
      <c r="A746" s="10"/>
      <c r="B746" s="10"/>
      <c r="C746" s="10"/>
      <c r="D746" s="10"/>
      <c r="E746" s="10"/>
      <c r="F746" s="187"/>
      <c r="G746" s="188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</row>
    <row r="747" ht="12.75" customHeight="1">
      <c r="A747" s="10"/>
      <c r="B747" s="10"/>
      <c r="C747" s="10"/>
      <c r="D747" s="10"/>
      <c r="E747" s="10"/>
      <c r="F747" s="187"/>
      <c r="G747" s="188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</row>
    <row r="748" ht="12.75" customHeight="1">
      <c r="A748" s="10"/>
      <c r="B748" s="10"/>
      <c r="C748" s="10"/>
      <c r="D748" s="10"/>
      <c r="E748" s="10"/>
      <c r="F748" s="187"/>
      <c r="G748" s="188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</row>
    <row r="749" ht="12.75" customHeight="1">
      <c r="A749" s="10"/>
      <c r="B749" s="10"/>
      <c r="C749" s="10"/>
      <c r="D749" s="10"/>
      <c r="E749" s="10"/>
      <c r="F749" s="187"/>
      <c r="G749" s="188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</row>
    <row r="750" ht="12.75" customHeight="1">
      <c r="A750" s="10"/>
      <c r="B750" s="10"/>
      <c r="C750" s="10"/>
      <c r="D750" s="10"/>
      <c r="E750" s="10"/>
      <c r="F750" s="187"/>
      <c r="G750" s="188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</row>
    <row r="751" ht="12.75" customHeight="1">
      <c r="A751" s="10"/>
      <c r="B751" s="10"/>
      <c r="C751" s="10"/>
      <c r="D751" s="10"/>
      <c r="E751" s="10"/>
      <c r="F751" s="187"/>
      <c r="G751" s="188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</row>
    <row r="752" ht="12.75" customHeight="1">
      <c r="A752" s="10"/>
      <c r="B752" s="10"/>
      <c r="C752" s="10"/>
      <c r="D752" s="10"/>
      <c r="E752" s="10"/>
      <c r="F752" s="187"/>
      <c r="G752" s="188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</row>
    <row r="753" ht="12.75" customHeight="1">
      <c r="A753" s="10"/>
      <c r="B753" s="10"/>
      <c r="C753" s="10"/>
      <c r="D753" s="10"/>
      <c r="E753" s="10"/>
      <c r="F753" s="187"/>
      <c r="G753" s="188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</row>
    <row r="754" ht="12.75" customHeight="1">
      <c r="A754" s="10"/>
      <c r="B754" s="10"/>
      <c r="C754" s="10"/>
      <c r="D754" s="10"/>
      <c r="E754" s="10"/>
      <c r="F754" s="187"/>
      <c r="G754" s="188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</row>
    <row r="755" ht="12.75" customHeight="1">
      <c r="A755" s="10"/>
      <c r="B755" s="10"/>
      <c r="C755" s="10"/>
      <c r="D755" s="10"/>
      <c r="E755" s="10"/>
      <c r="F755" s="187"/>
      <c r="G755" s="188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</row>
    <row r="756" ht="12.75" customHeight="1">
      <c r="A756" s="10"/>
      <c r="B756" s="10"/>
      <c r="C756" s="10"/>
      <c r="D756" s="10"/>
      <c r="E756" s="10"/>
      <c r="F756" s="187"/>
      <c r="G756" s="188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</row>
    <row r="757" ht="12.75" customHeight="1">
      <c r="A757" s="10"/>
      <c r="B757" s="10"/>
      <c r="C757" s="10"/>
      <c r="D757" s="10"/>
      <c r="E757" s="10"/>
      <c r="F757" s="187"/>
      <c r="G757" s="188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</row>
    <row r="758" ht="12.75" customHeight="1">
      <c r="A758" s="10"/>
      <c r="B758" s="10"/>
      <c r="C758" s="10"/>
      <c r="D758" s="10"/>
      <c r="E758" s="10"/>
      <c r="F758" s="187"/>
      <c r="G758" s="188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</row>
    <row r="759" ht="12.75" customHeight="1">
      <c r="A759" s="10"/>
      <c r="B759" s="10"/>
      <c r="C759" s="10"/>
      <c r="D759" s="10"/>
      <c r="E759" s="10"/>
      <c r="F759" s="187"/>
      <c r="G759" s="188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</row>
    <row r="760" ht="12.75" customHeight="1">
      <c r="A760" s="10"/>
      <c r="B760" s="10"/>
      <c r="C760" s="10"/>
      <c r="D760" s="10"/>
      <c r="E760" s="10"/>
      <c r="F760" s="187"/>
      <c r="G760" s="188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</row>
    <row r="761" ht="12.75" customHeight="1">
      <c r="A761" s="10"/>
      <c r="B761" s="10"/>
      <c r="C761" s="10"/>
      <c r="D761" s="10"/>
      <c r="E761" s="10"/>
      <c r="F761" s="187"/>
      <c r="G761" s="188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</row>
    <row r="762" ht="12.75" customHeight="1">
      <c r="A762" s="10"/>
      <c r="B762" s="10"/>
      <c r="C762" s="10"/>
      <c r="D762" s="10"/>
      <c r="E762" s="10"/>
      <c r="F762" s="187"/>
      <c r="G762" s="188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</row>
    <row r="763" ht="12.75" customHeight="1">
      <c r="A763" s="10"/>
      <c r="B763" s="10"/>
      <c r="C763" s="10"/>
      <c r="D763" s="10"/>
      <c r="E763" s="10"/>
      <c r="F763" s="187"/>
      <c r="G763" s="188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</row>
    <row r="764" ht="12.75" customHeight="1">
      <c r="A764" s="10"/>
      <c r="B764" s="10"/>
      <c r="C764" s="10"/>
      <c r="D764" s="10"/>
      <c r="E764" s="10"/>
      <c r="F764" s="187"/>
      <c r="G764" s="188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</row>
    <row r="765" ht="12.75" customHeight="1">
      <c r="A765" s="10"/>
      <c r="B765" s="10"/>
      <c r="C765" s="10"/>
      <c r="D765" s="10"/>
      <c r="E765" s="10"/>
      <c r="F765" s="187"/>
      <c r="G765" s="188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</row>
    <row r="766" ht="12.75" customHeight="1">
      <c r="A766" s="10"/>
      <c r="B766" s="10"/>
      <c r="C766" s="10"/>
      <c r="D766" s="10"/>
      <c r="E766" s="10"/>
      <c r="F766" s="187"/>
      <c r="G766" s="188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</row>
    <row r="767" ht="12.75" customHeight="1">
      <c r="A767" s="10"/>
      <c r="B767" s="10"/>
      <c r="C767" s="10"/>
      <c r="D767" s="10"/>
      <c r="E767" s="10"/>
      <c r="F767" s="187"/>
      <c r="G767" s="188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</row>
    <row r="768" ht="12.75" customHeight="1">
      <c r="A768" s="10"/>
      <c r="B768" s="10"/>
      <c r="C768" s="10"/>
      <c r="D768" s="10"/>
      <c r="E768" s="10"/>
      <c r="F768" s="187"/>
      <c r="G768" s="188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</row>
    <row r="769" ht="12.75" customHeight="1">
      <c r="A769" s="10"/>
      <c r="B769" s="10"/>
      <c r="C769" s="10"/>
      <c r="D769" s="10"/>
      <c r="E769" s="10"/>
      <c r="F769" s="187"/>
      <c r="G769" s="188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</row>
    <row r="770" ht="12.75" customHeight="1">
      <c r="A770" s="10"/>
      <c r="B770" s="10"/>
      <c r="C770" s="10"/>
      <c r="D770" s="10"/>
      <c r="E770" s="10"/>
      <c r="F770" s="187"/>
      <c r="G770" s="188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</row>
    <row r="771" ht="12.75" customHeight="1">
      <c r="A771" s="10"/>
      <c r="B771" s="10"/>
      <c r="C771" s="10"/>
      <c r="D771" s="10"/>
      <c r="E771" s="10"/>
      <c r="F771" s="187"/>
      <c r="G771" s="188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</row>
    <row r="772" ht="12.75" customHeight="1">
      <c r="A772" s="10"/>
      <c r="B772" s="10"/>
      <c r="C772" s="10"/>
      <c r="D772" s="10"/>
      <c r="E772" s="10"/>
      <c r="F772" s="187"/>
      <c r="G772" s="188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</row>
    <row r="773" ht="12.75" customHeight="1">
      <c r="A773" s="10"/>
      <c r="B773" s="10"/>
      <c r="C773" s="10"/>
      <c r="D773" s="10"/>
      <c r="E773" s="10"/>
      <c r="F773" s="187"/>
      <c r="G773" s="188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</row>
    <row r="774" ht="12.75" customHeight="1">
      <c r="A774" s="10"/>
      <c r="B774" s="10"/>
      <c r="C774" s="10"/>
      <c r="D774" s="10"/>
      <c r="E774" s="10"/>
      <c r="F774" s="187"/>
      <c r="G774" s="188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</row>
    <row r="775" ht="12.75" customHeight="1">
      <c r="A775" s="10"/>
      <c r="B775" s="10"/>
      <c r="C775" s="10"/>
      <c r="D775" s="10"/>
      <c r="E775" s="10"/>
      <c r="F775" s="187"/>
      <c r="G775" s="188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</row>
    <row r="776" ht="12.75" customHeight="1">
      <c r="A776" s="10"/>
      <c r="B776" s="10"/>
      <c r="C776" s="10"/>
      <c r="D776" s="10"/>
      <c r="E776" s="10"/>
      <c r="F776" s="187"/>
      <c r="G776" s="188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</row>
    <row r="777" ht="12.75" customHeight="1">
      <c r="A777" s="10"/>
      <c r="B777" s="10"/>
      <c r="C777" s="10"/>
      <c r="D777" s="10"/>
      <c r="E777" s="10"/>
      <c r="F777" s="187"/>
      <c r="G777" s="188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</row>
    <row r="778" ht="12.75" customHeight="1">
      <c r="A778" s="10"/>
      <c r="B778" s="10"/>
      <c r="C778" s="10"/>
      <c r="D778" s="10"/>
      <c r="E778" s="10"/>
      <c r="F778" s="187"/>
      <c r="G778" s="188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</row>
    <row r="779" ht="12.75" customHeight="1">
      <c r="A779" s="10"/>
      <c r="B779" s="10"/>
      <c r="C779" s="10"/>
      <c r="D779" s="10"/>
      <c r="E779" s="10"/>
      <c r="F779" s="187"/>
      <c r="G779" s="188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</row>
    <row r="780" ht="12.75" customHeight="1">
      <c r="A780" s="10"/>
      <c r="B780" s="10"/>
      <c r="C780" s="10"/>
      <c r="D780" s="10"/>
      <c r="E780" s="10"/>
      <c r="F780" s="187"/>
      <c r="G780" s="188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</row>
    <row r="781" ht="12.75" customHeight="1">
      <c r="A781" s="10"/>
      <c r="B781" s="10"/>
      <c r="C781" s="10"/>
      <c r="D781" s="10"/>
      <c r="E781" s="10"/>
      <c r="F781" s="187"/>
      <c r="G781" s="188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</row>
    <row r="782" ht="12.75" customHeight="1">
      <c r="A782" s="10"/>
      <c r="B782" s="10"/>
      <c r="C782" s="10"/>
      <c r="D782" s="10"/>
      <c r="E782" s="10"/>
      <c r="F782" s="187"/>
      <c r="G782" s="188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</row>
    <row r="783" ht="12.75" customHeight="1">
      <c r="A783" s="10"/>
      <c r="B783" s="10"/>
      <c r="C783" s="10"/>
      <c r="D783" s="10"/>
      <c r="E783" s="10"/>
      <c r="F783" s="187"/>
      <c r="G783" s="188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</row>
    <row r="784" ht="12.75" customHeight="1">
      <c r="A784" s="10"/>
      <c r="B784" s="10"/>
      <c r="C784" s="10"/>
      <c r="D784" s="10"/>
      <c r="E784" s="10"/>
      <c r="F784" s="187"/>
      <c r="G784" s="188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</row>
    <row r="785" ht="12.75" customHeight="1">
      <c r="A785" s="10"/>
      <c r="B785" s="10"/>
      <c r="C785" s="10"/>
      <c r="D785" s="10"/>
      <c r="E785" s="10"/>
      <c r="F785" s="187"/>
      <c r="G785" s="188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</row>
    <row r="786" ht="12.75" customHeight="1">
      <c r="A786" s="10"/>
      <c r="B786" s="10"/>
      <c r="C786" s="10"/>
      <c r="D786" s="10"/>
      <c r="E786" s="10"/>
      <c r="F786" s="187"/>
      <c r="G786" s="188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</row>
    <row r="787" ht="12.75" customHeight="1">
      <c r="A787" s="10"/>
      <c r="B787" s="10"/>
      <c r="C787" s="10"/>
      <c r="D787" s="10"/>
      <c r="E787" s="10"/>
      <c r="F787" s="187"/>
      <c r="G787" s="188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</row>
    <row r="788" ht="12.75" customHeight="1">
      <c r="A788" s="10"/>
      <c r="B788" s="10"/>
      <c r="C788" s="10"/>
      <c r="D788" s="10"/>
      <c r="E788" s="10"/>
      <c r="F788" s="187"/>
      <c r="G788" s="188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</row>
    <row r="789" ht="12.75" customHeight="1">
      <c r="A789" s="10"/>
      <c r="B789" s="10"/>
      <c r="C789" s="10"/>
      <c r="D789" s="10"/>
      <c r="E789" s="10"/>
      <c r="F789" s="187"/>
      <c r="G789" s="188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</row>
    <row r="790" ht="12.75" customHeight="1">
      <c r="A790" s="10"/>
      <c r="B790" s="10"/>
      <c r="C790" s="10"/>
      <c r="D790" s="10"/>
      <c r="E790" s="10"/>
      <c r="F790" s="187"/>
      <c r="G790" s="188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</row>
    <row r="791" ht="12.75" customHeight="1">
      <c r="A791" s="10"/>
      <c r="B791" s="10"/>
      <c r="C791" s="10"/>
      <c r="D791" s="10"/>
      <c r="E791" s="10"/>
      <c r="F791" s="187"/>
      <c r="G791" s="188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</row>
    <row r="792" ht="12.75" customHeight="1">
      <c r="A792" s="10"/>
      <c r="B792" s="10"/>
      <c r="C792" s="10"/>
      <c r="D792" s="10"/>
      <c r="E792" s="10"/>
      <c r="F792" s="187"/>
      <c r="G792" s="188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</row>
    <row r="793" ht="12.75" customHeight="1">
      <c r="A793" s="10"/>
      <c r="B793" s="10"/>
      <c r="C793" s="10"/>
      <c r="D793" s="10"/>
      <c r="E793" s="10"/>
      <c r="F793" s="187"/>
      <c r="G793" s="188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</row>
    <row r="794" ht="12.75" customHeight="1">
      <c r="A794" s="10"/>
      <c r="B794" s="10"/>
      <c r="C794" s="10"/>
      <c r="D794" s="10"/>
      <c r="E794" s="10"/>
      <c r="F794" s="187"/>
      <c r="G794" s="188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</row>
    <row r="795" ht="12.75" customHeight="1">
      <c r="A795" s="10"/>
      <c r="B795" s="10"/>
      <c r="C795" s="10"/>
      <c r="D795" s="10"/>
      <c r="E795" s="10"/>
      <c r="F795" s="187"/>
      <c r="G795" s="188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</row>
    <row r="796" ht="12.75" customHeight="1">
      <c r="A796" s="10"/>
      <c r="B796" s="10"/>
      <c r="C796" s="10"/>
      <c r="D796" s="10"/>
      <c r="E796" s="10"/>
      <c r="F796" s="187"/>
      <c r="G796" s="188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</row>
    <row r="797" ht="12.75" customHeight="1">
      <c r="A797" s="10"/>
      <c r="B797" s="10"/>
      <c r="C797" s="10"/>
      <c r="D797" s="10"/>
      <c r="E797" s="10"/>
      <c r="F797" s="187"/>
      <c r="G797" s="188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</row>
    <row r="798" ht="12.75" customHeight="1">
      <c r="A798" s="10"/>
      <c r="B798" s="10"/>
      <c r="C798" s="10"/>
      <c r="D798" s="10"/>
      <c r="E798" s="10"/>
      <c r="F798" s="187"/>
      <c r="G798" s="188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</row>
    <row r="799" ht="12.75" customHeight="1">
      <c r="A799" s="10"/>
      <c r="B799" s="10"/>
      <c r="C799" s="10"/>
      <c r="D799" s="10"/>
      <c r="E799" s="10"/>
      <c r="F799" s="187"/>
      <c r="G799" s="188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</row>
    <row r="800" ht="12.75" customHeight="1">
      <c r="A800" s="10"/>
      <c r="B800" s="10"/>
      <c r="C800" s="10"/>
      <c r="D800" s="10"/>
      <c r="E800" s="10"/>
      <c r="F800" s="187"/>
      <c r="G800" s="188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</row>
    <row r="801" ht="12.75" customHeight="1">
      <c r="A801" s="10"/>
      <c r="B801" s="10"/>
      <c r="C801" s="10"/>
      <c r="D801" s="10"/>
      <c r="E801" s="10"/>
      <c r="F801" s="187"/>
      <c r="G801" s="188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</row>
    <row r="802" ht="12.75" customHeight="1">
      <c r="A802" s="10"/>
      <c r="B802" s="10"/>
      <c r="C802" s="10"/>
      <c r="D802" s="10"/>
      <c r="E802" s="10"/>
      <c r="F802" s="187"/>
      <c r="G802" s="188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</row>
    <row r="803" ht="12.75" customHeight="1">
      <c r="A803" s="10"/>
      <c r="B803" s="10"/>
      <c r="C803" s="10"/>
      <c r="D803" s="10"/>
      <c r="E803" s="10"/>
      <c r="F803" s="187"/>
      <c r="G803" s="188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</row>
    <row r="804" ht="12.75" customHeight="1">
      <c r="A804" s="10"/>
      <c r="B804" s="10"/>
      <c r="C804" s="10"/>
      <c r="D804" s="10"/>
      <c r="E804" s="10"/>
      <c r="F804" s="187"/>
      <c r="G804" s="188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</row>
    <row r="805" ht="12.75" customHeight="1">
      <c r="A805" s="10"/>
      <c r="B805" s="10"/>
      <c r="C805" s="10"/>
      <c r="D805" s="10"/>
      <c r="E805" s="10"/>
      <c r="F805" s="187"/>
      <c r="G805" s="188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</row>
    <row r="806" ht="12.75" customHeight="1">
      <c r="A806" s="10"/>
      <c r="B806" s="10"/>
      <c r="C806" s="10"/>
      <c r="D806" s="10"/>
      <c r="E806" s="10"/>
      <c r="F806" s="187"/>
      <c r="G806" s="188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</row>
    <row r="807" ht="12.75" customHeight="1">
      <c r="A807" s="10"/>
      <c r="B807" s="10"/>
      <c r="C807" s="10"/>
      <c r="D807" s="10"/>
      <c r="E807" s="10"/>
      <c r="F807" s="187"/>
      <c r="G807" s="188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</row>
    <row r="808" ht="12.75" customHeight="1">
      <c r="A808" s="10"/>
      <c r="B808" s="10"/>
      <c r="C808" s="10"/>
      <c r="D808" s="10"/>
      <c r="E808" s="10"/>
      <c r="F808" s="187"/>
      <c r="G808" s="188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</row>
    <row r="809" ht="12.75" customHeight="1">
      <c r="A809" s="10"/>
      <c r="B809" s="10"/>
      <c r="C809" s="10"/>
      <c r="D809" s="10"/>
      <c r="E809" s="10"/>
      <c r="F809" s="187"/>
      <c r="G809" s="188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</row>
    <row r="810" ht="12.75" customHeight="1">
      <c r="A810" s="10"/>
      <c r="B810" s="10"/>
      <c r="C810" s="10"/>
      <c r="D810" s="10"/>
      <c r="E810" s="10"/>
      <c r="F810" s="187"/>
      <c r="G810" s="188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</row>
    <row r="811" ht="12.75" customHeight="1">
      <c r="A811" s="10"/>
      <c r="B811" s="10"/>
      <c r="C811" s="10"/>
      <c r="D811" s="10"/>
      <c r="E811" s="10"/>
      <c r="F811" s="187"/>
      <c r="G811" s="188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</row>
    <row r="812" ht="12.75" customHeight="1">
      <c r="A812" s="10"/>
      <c r="B812" s="10"/>
      <c r="C812" s="10"/>
      <c r="D812" s="10"/>
      <c r="E812" s="10"/>
      <c r="F812" s="187"/>
      <c r="G812" s="188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</row>
    <row r="813" ht="12.75" customHeight="1">
      <c r="A813" s="10"/>
      <c r="B813" s="10"/>
      <c r="C813" s="10"/>
      <c r="D813" s="10"/>
      <c r="E813" s="10"/>
      <c r="F813" s="187"/>
      <c r="G813" s="188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</row>
    <row r="814" ht="12.75" customHeight="1">
      <c r="A814" s="10"/>
      <c r="B814" s="10"/>
      <c r="C814" s="10"/>
      <c r="D814" s="10"/>
      <c r="E814" s="10"/>
      <c r="F814" s="187"/>
      <c r="G814" s="188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</row>
    <row r="815" ht="12.75" customHeight="1">
      <c r="A815" s="10"/>
      <c r="B815" s="10"/>
      <c r="C815" s="10"/>
      <c r="D815" s="10"/>
      <c r="E815" s="10"/>
      <c r="F815" s="187"/>
      <c r="G815" s="188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</row>
    <row r="816" ht="12.75" customHeight="1">
      <c r="A816" s="10"/>
      <c r="B816" s="10"/>
      <c r="C816" s="10"/>
      <c r="D816" s="10"/>
      <c r="E816" s="10"/>
      <c r="F816" s="187"/>
      <c r="G816" s="188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</row>
    <row r="817" ht="12.75" customHeight="1">
      <c r="A817" s="10"/>
      <c r="B817" s="10"/>
      <c r="C817" s="10"/>
      <c r="D817" s="10"/>
      <c r="E817" s="10"/>
      <c r="F817" s="187"/>
      <c r="G817" s="188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</row>
    <row r="818" ht="12.75" customHeight="1">
      <c r="A818" s="10"/>
      <c r="B818" s="10"/>
      <c r="C818" s="10"/>
      <c r="D818" s="10"/>
      <c r="E818" s="10"/>
      <c r="F818" s="187"/>
      <c r="G818" s="188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</row>
    <row r="819" ht="12.75" customHeight="1">
      <c r="A819" s="10"/>
      <c r="B819" s="10"/>
      <c r="C819" s="10"/>
      <c r="D819" s="10"/>
      <c r="E819" s="10"/>
      <c r="F819" s="187"/>
      <c r="G819" s="188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</row>
    <row r="820" ht="12.75" customHeight="1">
      <c r="A820" s="10"/>
      <c r="B820" s="10"/>
      <c r="C820" s="10"/>
      <c r="D820" s="10"/>
      <c r="E820" s="10"/>
      <c r="F820" s="187"/>
      <c r="G820" s="188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</row>
    <row r="821" ht="12.75" customHeight="1">
      <c r="A821" s="10"/>
      <c r="B821" s="10"/>
      <c r="C821" s="10"/>
      <c r="D821" s="10"/>
      <c r="E821" s="10"/>
      <c r="F821" s="187"/>
      <c r="G821" s="188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</row>
    <row r="822" ht="12.75" customHeight="1">
      <c r="A822" s="10"/>
      <c r="B822" s="10"/>
      <c r="C822" s="10"/>
      <c r="D822" s="10"/>
      <c r="E822" s="10"/>
      <c r="F822" s="187"/>
      <c r="G822" s="188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</row>
    <row r="823" ht="12.75" customHeight="1">
      <c r="A823" s="10"/>
      <c r="B823" s="10"/>
      <c r="C823" s="10"/>
      <c r="D823" s="10"/>
      <c r="E823" s="10"/>
      <c r="F823" s="187"/>
      <c r="G823" s="188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</row>
    <row r="824" ht="12.75" customHeight="1">
      <c r="A824" s="10"/>
      <c r="B824" s="10"/>
      <c r="C824" s="10"/>
      <c r="D824" s="10"/>
      <c r="E824" s="10"/>
      <c r="F824" s="187"/>
      <c r="G824" s="188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</row>
    <row r="825" ht="12.75" customHeight="1">
      <c r="A825" s="10"/>
      <c r="B825" s="10"/>
      <c r="C825" s="10"/>
      <c r="D825" s="10"/>
      <c r="E825" s="10"/>
      <c r="F825" s="187"/>
      <c r="G825" s="188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</row>
    <row r="826" ht="12.75" customHeight="1">
      <c r="A826" s="10"/>
      <c r="B826" s="10"/>
      <c r="C826" s="10"/>
      <c r="D826" s="10"/>
      <c r="E826" s="10"/>
      <c r="F826" s="187"/>
      <c r="G826" s="188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</row>
    <row r="827" ht="12.75" customHeight="1">
      <c r="A827" s="10"/>
      <c r="B827" s="10"/>
      <c r="C827" s="10"/>
      <c r="D827" s="10"/>
      <c r="E827" s="10"/>
      <c r="F827" s="187"/>
      <c r="G827" s="188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</row>
    <row r="828" ht="12.75" customHeight="1">
      <c r="A828" s="10"/>
      <c r="B828" s="10"/>
      <c r="C828" s="10"/>
      <c r="D828" s="10"/>
      <c r="E828" s="10"/>
      <c r="F828" s="187"/>
      <c r="G828" s="188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</row>
    <row r="829" ht="12.75" customHeight="1">
      <c r="A829" s="10"/>
      <c r="B829" s="10"/>
      <c r="C829" s="10"/>
      <c r="D829" s="10"/>
      <c r="E829" s="10"/>
      <c r="F829" s="187"/>
      <c r="G829" s="188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</row>
    <row r="830" ht="12.75" customHeight="1">
      <c r="A830" s="10"/>
      <c r="B830" s="10"/>
      <c r="C830" s="10"/>
      <c r="D830" s="10"/>
      <c r="E830" s="10"/>
      <c r="F830" s="187"/>
      <c r="G830" s="188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</row>
    <row r="831" ht="12.75" customHeight="1">
      <c r="A831" s="10"/>
      <c r="B831" s="10"/>
      <c r="C831" s="10"/>
      <c r="D831" s="10"/>
      <c r="E831" s="10"/>
      <c r="F831" s="187"/>
      <c r="G831" s="188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</row>
    <row r="832" ht="12.75" customHeight="1">
      <c r="A832" s="10"/>
      <c r="B832" s="10"/>
      <c r="C832" s="10"/>
      <c r="D832" s="10"/>
      <c r="E832" s="10"/>
      <c r="F832" s="187"/>
      <c r="G832" s="188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</row>
    <row r="833" ht="12.75" customHeight="1">
      <c r="A833" s="10"/>
      <c r="B833" s="10"/>
      <c r="C833" s="10"/>
      <c r="D833" s="10"/>
      <c r="E833" s="10"/>
      <c r="F833" s="187"/>
      <c r="G833" s="188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</row>
    <row r="834" ht="12.75" customHeight="1">
      <c r="A834" s="10"/>
      <c r="B834" s="10"/>
      <c r="C834" s="10"/>
      <c r="D834" s="10"/>
      <c r="E834" s="10"/>
      <c r="F834" s="187"/>
      <c r="G834" s="188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</row>
    <row r="835" ht="12.75" customHeight="1">
      <c r="A835" s="10"/>
      <c r="B835" s="10"/>
      <c r="C835" s="10"/>
      <c r="D835" s="10"/>
      <c r="E835" s="10"/>
      <c r="F835" s="187"/>
      <c r="G835" s="188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</row>
    <row r="836" ht="12.75" customHeight="1">
      <c r="A836" s="10"/>
      <c r="B836" s="10"/>
      <c r="C836" s="10"/>
      <c r="D836" s="10"/>
      <c r="E836" s="10"/>
      <c r="F836" s="187"/>
      <c r="G836" s="188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</row>
    <row r="837" ht="12.75" customHeight="1">
      <c r="A837" s="10"/>
      <c r="B837" s="10"/>
      <c r="C837" s="10"/>
      <c r="D837" s="10"/>
      <c r="E837" s="10"/>
      <c r="F837" s="187"/>
      <c r="G837" s="188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</row>
    <row r="838" ht="12.75" customHeight="1">
      <c r="A838" s="10"/>
      <c r="B838" s="10"/>
      <c r="C838" s="10"/>
      <c r="D838" s="10"/>
      <c r="E838" s="10"/>
      <c r="F838" s="187"/>
      <c r="G838" s="188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</row>
    <row r="839" ht="12.75" customHeight="1">
      <c r="A839" s="10"/>
      <c r="B839" s="10"/>
      <c r="C839" s="10"/>
      <c r="D839" s="10"/>
      <c r="E839" s="10"/>
      <c r="F839" s="187"/>
      <c r="G839" s="188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</row>
    <row r="840" ht="12.75" customHeight="1">
      <c r="A840" s="10"/>
      <c r="B840" s="10"/>
      <c r="C840" s="10"/>
      <c r="D840" s="10"/>
      <c r="E840" s="10"/>
      <c r="F840" s="187"/>
      <c r="G840" s="188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</row>
    <row r="841" ht="12.75" customHeight="1">
      <c r="A841" s="10"/>
      <c r="B841" s="10"/>
      <c r="C841" s="10"/>
      <c r="D841" s="10"/>
      <c r="E841" s="10"/>
      <c r="F841" s="187"/>
      <c r="G841" s="188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</row>
    <row r="842" ht="12.75" customHeight="1">
      <c r="A842" s="10"/>
      <c r="B842" s="10"/>
      <c r="C842" s="10"/>
      <c r="D842" s="10"/>
      <c r="E842" s="10"/>
      <c r="F842" s="187"/>
      <c r="G842" s="188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</row>
    <row r="843" ht="12.75" customHeight="1">
      <c r="A843" s="10"/>
      <c r="B843" s="10"/>
      <c r="C843" s="10"/>
      <c r="D843" s="10"/>
      <c r="E843" s="10"/>
      <c r="F843" s="187"/>
      <c r="G843" s="188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</row>
    <row r="844" ht="12.75" customHeight="1">
      <c r="A844" s="10"/>
      <c r="B844" s="10"/>
      <c r="C844" s="10"/>
      <c r="D844" s="10"/>
      <c r="E844" s="10"/>
      <c r="F844" s="187"/>
      <c r="G844" s="188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</row>
    <row r="845" ht="12.75" customHeight="1">
      <c r="A845" s="10"/>
      <c r="B845" s="10"/>
      <c r="C845" s="10"/>
      <c r="D845" s="10"/>
      <c r="E845" s="10"/>
      <c r="F845" s="187"/>
      <c r="G845" s="188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</row>
    <row r="846" ht="12.75" customHeight="1">
      <c r="A846" s="10"/>
      <c r="B846" s="10"/>
      <c r="C846" s="10"/>
      <c r="D846" s="10"/>
      <c r="E846" s="10"/>
      <c r="F846" s="187"/>
      <c r="G846" s="188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</row>
    <row r="847" ht="12.75" customHeight="1">
      <c r="A847" s="10"/>
      <c r="B847" s="10"/>
      <c r="C847" s="10"/>
      <c r="D847" s="10"/>
      <c r="E847" s="10"/>
      <c r="F847" s="187"/>
      <c r="G847" s="188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</row>
    <row r="848" ht="12.75" customHeight="1">
      <c r="A848" s="10"/>
      <c r="B848" s="10"/>
      <c r="C848" s="10"/>
      <c r="D848" s="10"/>
      <c r="E848" s="10"/>
      <c r="F848" s="187"/>
      <c r="G848" s="188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</row>
    <row r="849" ht="12.75" customHeight="1">
      <c r="A849" s="10"/>
      <c r="B849" s="10"/>
      <c r="C849" s="10"/>
      <c r="D849" s="10"/>
      <c r="E849" s="10"/>
      <c r="F849" s="187"/>
      <c r="G849" s="188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</row>
    <row r="850" ht="12.75" customHeight="1">
      <c r="A850" s="10"/>
      <c r="B850" s="10"/>
      <c r="C850" s="10"/>
      <c r="D850" s="10"/>
      <c r="E850" s="10"/>
      <c r="F850" s="187"/>
      <c r="G850" s="188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</row>
    <row r="851" ht="12.75" customHeight="1">
      <c r="A851" s="10"/>
      <c r="B851" s="10"/>
      <c r="C851" s="10"/>
      <c r="D851" s="10"/>
      <c r="E851" s="10"/>
      <c r="F851" s="187"/>
      <c r="G851" s="188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</row>
    <row r="852" ht="12.75" customHeight="1">
      <c r="A852" s="10"/>
      <c r="B852" s="10"/>
      <c r="C852" s="10"/>
      <c r="D852" s="10"/>
      <c r="E852" s="10"/>
      <c r="F852" s="187"/>
      <c r="G852" s="188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</row>
    <row r="853" ht="12.75" customHeight="1">
      <c r="A853" s="10"/>
      <c r="B853" s="10"/>
      <c r="C853" s="10"/>
      <c r="D853" s="10"/>
      <c r="E853" s="10"/>
      <c r="F853" s="187"/>
      <c r="G853" s="188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</row>
    <row r="854" ht="12.75" customHeight="1">
      <c r="A854" s="10"/>
      <c r="B854" s="10"/>
      <c r="C854" s="10"/>
      <c r="D854" s="10"/>
      <c r="E854" s="10"/>
      <c r="F854" s="187"/>
      <c r="G854" s="188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</row>
    <row r="855" ht="12.75" customHeight="1">
      <c r="A855" s="10"/>
      <c r="B855" s="10"/>
      <c r="C855" s="10"/>
      <c r="D855" s="10"/>
      <c r="E855" s="10"/>
      <c r="F855" s="187"/>
      <c r="G855" s="188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</row>
    <row r="856" ht="12.75" customHeight="1">
      <c r="A856" s="10"/>
      <c r="B856" s="10"/>
      <c r="C856" s="10"/>
      <c r="D856" s="10"/>
      <c r="E856" s="10"/>
      <c r="F856" s="187"/>
      <c r="G856" s="188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</row>
    <row r="857" ht="12.75" customHeight="1">
      <c r="A857" s="10"/>
      <c r="B857" s="10"/>
      <c r="C857" s="10"/>
      <c r="D857" s="10"/>
      <c r="E857" s="10"/>
      <c r="F857" s="187"/>
      <c r="G857" s="188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</row>
    <row r="858" ht="12.75" customHeight="1">
      <c r="A858" s="10"/>
      <c r="B858" s="10"/>
      <c r="C858" s="10"/>
      <c r="D858" s="10"/>
      <c r="E858" s="10"/>
      <c r="F858" s="187"/>
      <c r="G858" s="188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</row>
    <row r="859" ht="12.75" customHeight="1">
      <c r="A859" s="10"/>
      <c r="B859" s="10"/>
      <c r="C859" s="10"/>
      <c r="D859" s="10"/>
      <c r="E859" s="10"/>
      <c r="F859" s="187"/>
      <c r="G859" s="188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</row>
    <row r="860" ht="12.75" customHeight="1">
      <c r="A860" s="10"/>
      <c r="B860" s="10"/>
      <c r="C860" s="10"/>
      <c r="D860" s="10"/>
      <c r="E860" s="10"/>
      <c r="F860" s="187"/>
      <c r="G860" s="188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</row>
    <row r="861" ht="12.75" customHeight="1">
      <c r="A861" s="10"/>
      <c r="B861" s="10"/>
      <c r="C861" s="10"/>
      <c r="D861" s="10"/>
      <c r="E861" s="10"/>
      <c r="F861" s="187"/>
      <c r="G861" s="188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</row>
    <row r="862" ht="12.75" customHeight="1">
      <c r="A862" s="10"/>
      <c r="B862" s="10"/>
      <c r="C862" s="10"/>
      <c r="D862" s="10"/>
      <c r="E862" s="10"/>
      <c r="F862" s="187"/>
      <c r="G862" s="188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</row>
    <row r="863" ht="12.75" customHeight="1">
      <c r="A863" s="10"/>
      <c r="B863" s="10"/>
      <c r="C863" s="10"/>
      <c r="D863" s="10"/>
      <c r="E863" s="10"/>
      <c r="F863" s="187"/>
      <c r="G863" s="188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</row>
    <row r="864" ht="12.75" customHeight="1">
      <c r="A864" s="10"/>
      <c r="B864" s="10"/>
      <c r="C864" s="10"/>
      <c r="D864" s="10"/>
      <c r="E864" s="10"/>
      <c r="F864" s="187"/>
      <c r="G864" s="188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</row>
    <row r="865" ht="12.75" customHeight="1">
      <c r="A865" s="10"/>
      <c r="B865" s="10"/>
      <c r="C865" s="10"/>
      <c r="D865" s="10"/>
      <c r="E865" s="10"/>
      <c r="F865" s="187"/>
      <c r="G865" s="188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</row>
    <row r="866" ht="12.75" customHeight="1">
      <c r="A866" s="10"/>
      <c r="B866" s="10"/>
      <c r="C866" s="10"/>
      <c r="D866" s="10"/>
      <c r="E866" s="10"/>
      <c r="F866" s="187"/>
      <c r="G866" s="188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</row>
    <row r="867" ht="12.75" customHeight="1">
      <c r="A867" s="10"/>
      <c r="B867" s="10"/>
      <c r="C867" s="10"/>
      <c r="D867" s="10"/>
      <c r="E867" s="10"/>
      <c r="F867" s="187"/>
      <c r="G867" s="188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</row>
    <row r="868" ht="12.75" customHeight="1">
      <c r="A868" s="10"/>
      <c r="B868" s="10"/>
      <c r="C868" s="10"/>
      <c r="D868" s="10"/>
      <c r="E868" s="10"/>
      <c r="F868" s="187"/>
      <c r="G868" s="188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</row>
    <row r="869" ht="12.75" customHeight="1">
      <c r="A869" s="10"/>
      <c r="B869" s="10"/>
      <c r="C869" s="10"/>
      <c r="D869" s="10"/>
      <c r="E869" s="10"/>
      <c r="F869" s="187"/>
      <c r="G869" s="188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</row>
    <row r="870" ht="12.75" customHeight="1">
      <c r="A870" s="10"/>
      <c r="B870" s="10"/>
      <c r="C870" s="10"/>
      <c r="D870" s="10"/>
      <c r="E870" s="10"/>
      <c r="F870" s="187"/>
      <c r="G870" s="188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</row>
    <row r="871" ht="12.75" customHeight="1">
      <c r="A871" s="10"/>
      <c r="B871" s="10"/>
      <c r="C871" s="10"/>
      <c r="D871" s="10"/>
      <c r="E871" s="10"/>
      <c r="F871" s="187"/>
      <c r="G871" s="188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</row>
    <row r="872" ht="12.75" customHeight="1">
      <c r="A872" s="10"/>
      <c r="B872" s="10"/>
      <c r="C872" s="10"/>
      <c r="D872" s="10"/>
      <c r="E872" s="10"/>
      <c r="F872" s="187"/>
      <c r="G872" s="188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</row>
    <row r="873" ht="12.75" customHeight="1">
      <c r="A873" s="10"/>
      <c r="B873" s="10"/>
      <c r="C873" s="10"/>
      <c r="D873" s="10"/>
      <c r="E873" s="10"/>
      <c r="F873" s="187"/>
      <c r="G873" s="188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</row>
    <row r="874" ht="12.75" customHeight="1">
      <c r="A874" s="10"/>
      <c r="B874" s="10"/>
      <c r="C874" s="10"/>
      <c r="D874" s="10"/>
      <c r="E874" s="10"/>
      <c r="F874" s="187"/>
      <c r="G874" s="188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</row>
    <row r="875" ht="12.75" customHeight="1">
      <c r="A875" s="10"/>
      <c r="B875" s="10"/>
      <c r="C875" s="10"/>
      <c r="D875" s="10"/>
      <c r="E875" s="10"/>
      <c r="F875" s="187"/>
      <c r="G875" s="188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</row>
    <row r="876" ht="12.75" customHeight="1">
      <c r="A876" s="10"/>
      <c r="B876" s="10"/>
      <c r="C876" s="10"/>
      <c r="D876" s="10"/>
      <c r="E876" s="10"/>
      <c r="F876" s="187"/>
      <c r="G876" s="188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</row>
    <row r="877" ht="12.75" customHeight="1">
      <c r="A877" s="10"/>
      <c r="B877" s="10"/>
      <c r="C877" s="10"/>
      <c r="D877" s="10"/>
      <c r="E877" s="10"/>
      <c r="F877" s="187"/>
      <c r="G877" s="188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</row>
    <row r="878" ht="12.75" customHeight="1">
      <c r="A878" s="10"/>
      <c r="B878" s="10"/>
      <c r="C878" s="10"/>
      <c r="D878" s="10"/>
      <c r="E878" s="10"/>
      <c r="F878" s="187"/>
      <c r="G878" s="188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</row>
    <row r="879" ht="12.75" customHeight="1">
      <c r="A879" s="10"/>
      <c r="B879" s="10"/>
      <c r="C879" s="10"/>
      <c r="D879" s="10"/>
      <c r="E879" s="10"/>
      <c r="F879" s="187"/>
      <c r="G879" s="188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</row>
    <row r="880" ht="12.75" customHeight="1">
      <c r="A880" s="10"/>
      <c r="B880" s="10"/>
      <c r="C880" s="10"/>
      <c r="D880" s="10"/>
      <c r="E880" s="10"/>
      <c r="F880" s="187"/>
      <c r="G880" s="188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</row>
    <row r="881" ht="12.75" customHeight="1">
      <c r="A881" s="10"/>
      <c r="B881" s="10"/>
      <c r="C881" s="10"/>
      <c r="D881" s="10"/>
      <c r="E881" s="10"/>
      <c r="F881" s="187"/>
      <c r="G881" s="188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</row>
    <row r="882" ht="12.75" customHeight="1">
      <c r="A882" s="10"/>
      <c r="B882" s="10"/>
      <c r="C882" s="10"/>
      <c r="D882" s="10"/>
      <c r="E882" s="10"/>
      <c r="F882" s="187"/>
      <c r="G882" s="188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</row>
    <row r="883" ht="12.75" customHeight="1">
      <c r="A883" s="10"/>
      <c r="B883" s="10"/>
      <c r="C883" s="10"/>
      <c r="D883" s="10"/>
      <c r="E883" s="10"/>
      <c r="F883" s="187"/>
      <c r="G883" s="188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</row>
    <row r="884" ht="12.75" customHeight="1">
      <c r="A884" s="10"/>
      <c r="B884" s="10"/>
      <c r="C884" s="10"/>
      <c r="D884" s="10"/>
      <c r="E884" s="10"/>
      <c r="F884" s="187"/>
      <c r="G884" s="188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</row>
    <row r="885" ht="12.75" customHeight="1">
      <c r="A885" s="10"/>
      <c r="B885" s="10"/>
      <c r="C885" s="10"/>
      <c r="D885" s="10"/>
      <c r="E885" s="10"/>
      <c r="F885" s="187"/>
      <c r="G885" s="188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</row>
    <row r="886" ht="12.75" customHeight="1">
      <c r="A886" s="10"/>
      <c r="B886" s="10"/>
      <c r="C886" s="10"/>
      <c r="D886" s="10"/>
      <c r="E886" s="10"/>
      <c r="F886" s="187"/>
      <c r="G886" s="188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</row>
    <row r="887" ht="12.75" customHeight="1">
      <c r="A887" s="10"/>
      <c r="B887" s="10"/>
      <c r="C887" s="10"/>
      <c r="D887" s="10"/>
      <c r="E887" s="10"/>
      <c r="F887" s="187"/>
      <c r="G887" s="188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</row>
    <row r="888" ht="12.75" customHeight="1">
      <c r="A888" s="10"/>
      <c r="B888" s="10"/>
      <c r="C888" s="10"/>
      <c r="D888" s="10"/>
      <c r="E888" s="10"/>
      <c r="F888" s="187"/>
      <c r="G888" s="188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</row>
    <row r="889" ht="12.75" customHeight="1">
      <c r="A889" s="10"/>
      <c r="B889" s="10"/>
      <c r="C889" s="10"/>
      <c r="D889" s="10"/>
      <c r="E889" s="10"/>
      <c r="F889" s="187"/>
      <c r="G889" s="188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</row>
    <row r="890" ht="12.75" customHeight="1">
      <c r="A890" s="10"/>
      <c r="B890" s="10"/>
      <c r="C890" s="10"/>
      <c r="D890" s="10"/>
      <c r="E890" s="10"/>
      <c r="F890" s="187"/>
      <c r="G890" s="188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</row>
    <row r="891" ht="12.75" customHeight="1">
      <c r="A891" s="10"/>
      <c r="B891" s="10"/>
      <c r="C891" s="10"/>
      <c r="D891" s="10"/>
      <c r="E891" s="10"/>
      <c r="F891" s="187"/>
      <c r="G891" s="188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</row>
    <row r="892" ht="12.75" customHeight="1">
      <c r="A892" s="10"/>
      <c r="B892" s="10"/>
      <c r="C892" s="10"/>
      <c r="D892" s="10"/>
      <c r="E892" s="10"/>
      <c r="F892" s="187"/>
      <c r="G892" s="188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</row>
    <row r="893" ht="12.75" customHeight="1">
      <c r="A893" s="10"/>
      <c r="B893" s="10"/>
      <c r="C893" s="10"/>
      <c r="D893" s="10"/>
      <c r="E893" s="10"/>
      <c r="F893" s="187"/>
      <c r="G893" s="188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</row>
    <row r="894" ht="12.75" customHeight="1">
      <c r="A894" s="10"/>
      <c r="B894" s="10"/>
      <c r="C894" s="10"/>
      <c r="D894" s="10"/>
      <c r="E894" s="10"/>
      <c r="F894" s="187"/>
      <c r="G894" s="188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</row>
    <row r="895" ht="12.75" customHeight="1">
      <c r="A895" s="10"/>
      <c r="B895" s="10"/>
      <c r="C895" s="10"/>
      <c r="D895" s="10"/>
      <c r="E895" s="10"/>
      <c r="F895" s="187"/>
      <c r="G895" s="188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</row>
    <row r="896" ht="12.75" customHeight="1">
      <c r="A896" s="10"/>
      <c r="B896" s="10"/>
      <c r="C896" s="10"/>
      <c r="D896" s="10"/>
      <c r="E896" s="10"/>
      <c r="F896" s="187"/>
      <c r="G896" s="188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</row>
    <row r="897" ht="12.75" customHeight="1">
      <c r="A897" s="10"/>
      <c r="B897" s="10"/>
      <c r="C897" s="10"/>
      <c r="D897" s="10"/>
      <c r="E897" s="10"/>
      <c r="F897" s="187"/>
      <c r="G897" s="188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</row>
    <row r="898" ht="12.75" customHeight="1">
      <c r="A898" s="10"/>
      <c r="B898" s="10"/>
      <c r="C898" s="10"/>
      <c r="D898" s="10"/>
      <c r="E898" s="10"/>
      <c r="F898" s="187"/>
      <c r="G898" s="188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</row>
    <row r="899" ht="12.75" customHeight="1">
      <c r="A899" s="10"/>
      <c r="B899" s="10"/>
      <c r="C899" s="10"/>
      <c r="D899" s="10"/>
      <c r="E899" s="10"/>
      <c r="F899" s="187"/>
      <c r="G899" s="188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</row>
    <row r="900" ht="12.75" customHeight="1">
      <c r="A900" s="10"/>
      <c r="B900" s="10"/>
      <c r="C900" s="10"/>
      <c r="D900" s="10"/>
      <c r="E900" s="10"/>
      <c r="F900" s="187"/>
      <c r="G900" s="188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</row>
    <row r="901" ht="12.75" customHeight="1">
      <c r="A901" s="10"/>
      <c r="B901" s="10"/>
      <c r="C901" s="10"/>
      <c r="D901" s="10"/>
      <c r="E901" s="10"/>
      <c r="F901" s="187"/>
      <c r="G901" s="188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</row>
    <row r="902" ht="12.75" customHeight="1">
      <c r="A902" s="10"/>
      <c r="B902" s="10"/>
      <c r="C902" s="10"/>
      <c r="D902" s="10"/>
      <c r="E902" s="10"/>
      <c r="F902" s="187"/>
      <c r="G902" s="188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</row>
    <row r="903" ht="12.75" customHeight="1">
      <c r="A903" s="10"/>
      <c r="B903" s="10"/>
      <c r="C903" s="10"/>
      <c r="D903" s="10"/>
      <c r="E903" s="10"/>
      <c r="F903" s="187"/>
      <c r="G903" s="188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</row>
    <row r="904" ht="12.75" customHeight="1">
      <c r="A904" s="10"/>
      <c r="B904" s="10"/>
      <c r="C904" s="10"/>
      <c r="D904" s="10"/>
      <c r="E904" s="10"/>
      <c r="F904" s="187"/>
      <c r="G904" s="188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</row>
    <row r="905" ht="12.75" customHeight="1">
      <c r="A905" s="10"/>
      <c r="B905" s="10"/>
      <c r="C905" s="10"/>
      <c r="D905" s="10"/>
      <c r="E905" s="10"/>
      <c r="F905" s="187"/>
      <c r="G905" s="188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</row>
    <row r="906" ht="12.75" customHeight="1">
      <c r="A906" s="10"/>
      <c r="B906" s="10"/>
      <c r="C906" s="10"/>
      <c r="D906" s="10"/>
      <c r="E906" s="10"/>
      <c r="F906" s="187"/>
      <c r="G906" s="188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</row>
    <row r="907" ht="12.75" customHeight="1">
      <c r="A907" s="10"/>
      <c r="B907" s="10"/>
      <c r="C907" s="10"/>
      <c r="D907" s="10"/>
      <c r="E907" s="10"/>
      <c r="F907" s="187"/>
      <c r="G907" s="188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</row>
    <row r="908" ht="12.75" customHeight="1">
      <c r="A908" s="10"/>
      <c r="B908" s="10"/>
      <c r="C908" s="10"/>
      <c r="D908" s="10"/>
      <c r="E908" s="10"/>
      <c r="F908" s="187"/>
      <c r="G908" s="188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</row>
    <row r="909" ht="12.75" customHeight="1">
      <c r="A909" s="10"/>
      <c r="B909" s="10"/>
      <c r="C909" s="10"/>
      <c r="D909" s="10"/>
      <c r="E909" s="10"/>
      <c r="F909" s="187"/>
      <c r="G909" s="188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</row>
    <row r="910" ht="12.75" customHeight="1">
      <c r="A910" s="10"/>
      <c r="B910" s="10"/>
      <c r="C910" s="10"/>
      <c r="D910" s="10"/>
      <c r="E910" s="10"/>
      <c r="F910" s="187"/>
      <c r="G910" s="188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</row>
    <row r="911" ht="12.75" customHeight="1">
      <c r="A911" s="10"/>
      <c r="B911" s="10"/>
      <c r="C911" s="10"/>
      <c r="D911" s="10"/>
      <c r="E911" s="10"/>
      <c r="F911" s="187"/>
      <c r="G911" s="188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</row>
    <row r="912" ht="12.75" customHeight="1">
      <c r="A912" s="10"/>
      <c r="B912" s="10"/>
      <c r="C912" s="10"/>
      <c r="D912" s="10"/>
      <c r="E912" s="10"/>
      <c r="F912" s="187"/>
      <c r="G912" s="188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</row>
    <row r="913" ht="12.75" customHeight="1">
      <c r="A913" s="10"/>
      <c r="B913" s="10"/>
      <c r="C913" s="10"/>
      <c r="D913" s="10"/>
      <c r="E913" s="10"/>
      <c r="F913" s="187"/>
      <c r="G913" s="188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</row>
    <row r="914" ht="12.75" customHeight="1">
      <c r="A914" s="10"/>
      <c r="B914" s="10"/>
      <c r="C914" s="10"/>
      <c r="D914" s="10"/>
      <c r="E914" s="10"/>
      <c r="F914" s="187"/>
      <c r="G914" s="188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</row>
    <row r="915" ht="12.75" customHeight="1">
      <c r="A915" s="10"/>
      <c r="B915" s="10"/>
      <c r="C915" s="10"/>
      <c r="D915" s="10"/>
      <c r="E915" s="10"/>
      <c r="F915" s="187"/>
      <c r="G915" s="188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</row>
    <row r="916" ht="12.75" customHeight="1">
      <c r="A916" s="10"/>
      <c r="B916" s="10"/>
      <c r="C916" s="10"/>
      <c r="D916" s="10"/>
      <c r="E916" s="10"/>
      <c r="F916" s="187"/>
      <c r="G916" s="188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</row>
    <row r="917" ht="12.75" customHeight="1">
      <c r="A917" s="10"/>
      <c r="B917" s="10"/>
      <c r="C917" s="10"/>
      <c r="D917" s="10"/>
      <c r="E917" s="10"/>
      <c r="F917" s="187"/>
      <c r="G917" s="188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</row>
    <row r="918" ht="12.75" customHeight="1">
      <c r="A918" s="10"/>
      <c r="B918" s="10"/>
      <c r="C918" s="10"/>
      <c r="D918" s="10"/>
      <c r="E918" s="10"/>
      <c r="F918" s="187"/>
      <c r="G918" s="188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</row>
    <row r="919" ht="12.75" customHeight="1">
      <c r="A919" s="10"/>
      <c r="B919" s="10"/>
      <c r="C919" s="10"/>
      <c r="D919" s="10"/>
      <c r="E919" s="10"/>
      <c r="F919" s="187"/>
      <c r="G919" s="188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</row>
    <row r="920" ht="12.75" customHeight="1">
      <c r="A920" s="10"/>
      <c r="B920" s="10"/>
      <c r="C920" s="10"/>
      <c r="D920" s="10"/>
      <c r="E920" s="10"/>
      <c r="F920" s="187"/>
      <c r="G920" s="188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</row>
    <row r="921" ht="12.75" customHeight="1">
      <c r="A921" s="10"/>
      <c r="B921" s="10"/>
      <c r="C921" s="10"/>
      <c r="D921" s="10"/>
      <c r="E921" s="10"/>
      <c r="F921" s="187"/>
      <c r="G921" s="188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</row>
    <row r="922" ht="12.75" customHeight="1">
      <c r="A922" s="10"/>
      <c r="B922" s="10"/>
      <c r="C922" s="10"/>
      <c r="D922" s="10"/>
      <c r="E922" s="10"/>
      <c r="F922" s="187"/>
      <c r="G922" s="188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</row>
    <row r="923" ht="12.75" customHeight="1">
      <c r="A923" s="10"/>
      <c r="B923" s="10"/>
      <c r="C923" s="10"/>
      <c r="D923" s="10"/>
      <c r="E923" s="10"/>
      <c r="F923" s="187"/>
      <c r="G923" s="188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</row>
    <row r="924" ht="12.75" customHeight="1">
      <c r="A924" s="10"/>
      <c r="B924" s="10"/>
      <c r="C924" s="10"/>
      <c r="D924" s="10"/>
      <c r="E924" s="10"/>
      <c r="F924" s="187"/>
      <c r="G924" s="188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</row>
    <row r="925" ht="12.75" customHeight="1">
      <c r="A925" s="10"/>
      <c r="B925" s="10"/>
      <c r="C925" s="10"/>
      <c r="D925" s="10"/>
      <c r="E925" s="10"/>
      <c r="F925" s="187"/>
      <c r="G925" s="188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</row>
    <row r="926" ht="12.75" customHeight="1">
      <c r="A926" s="10"/>
      <c r="B926" s="10"/>
      <c r="C926" s="10"/>
      <c r="D926" s="10"/>
      <c r="E926" s="10"/>
      <c r="F926" s="187"/>
      <c r="G926" s="188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</row>
    <row r="927" ht="12.75" customHeight="1">
      <c r="A927" s="10"/>
      <c r="B927" s="10"/>
      <c r="C927" s="10"/>
      <c r="D927" s="10"/>
      <c r="E927" s="10"/>
      <c r="F927" s="187"/>
      <c r="G927" s="188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</row>
    <row r="928" ht="12.75" customHeight="1">
      <c r="A928" s="10"/>
      <c r="B928" s="10"/>
      <c r="C928" s="10"/>
      <c r="D928" s="10"/>
      <c r="E928" s="10"/>
      <c r="F928" s="187"/>
      <c r="G928" s="188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</row>
    <row r="929" ht="12.75" customHeight="1">
      <c r="A929" s="10"/>
      <c r="B929" s="10"/>
      <c r="C929" s="10"/>
      <c r="D929" s="10"/>
      <c r="E929" s="10"/>
      <c r="F929" s="187"/>
      <c r="G929" s="188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</row>
    <row r="930" ht="12.75" customHeight="1">
      <c r="A930" s="10"/>
      <c r="B930" s="10"/>
      <c r="C930" s="10"/>
      <c r="D930" s="10"/>
      <c r="E930" s="10"/>
      <c r="F930" s="187"/>
      <c r="G930" s="188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</row>
    <row r="931" ht="12.75" customHeight="1">
      <c r="A931" s="10"/>
      <c r="B931" s="10"/>
      <c r="C931" s="10"/>
      <c r="D931" s="10"/>
      <c r="E931" s="10"/>
      <c r="F931" s="187"/>
      <c r="G931" s="188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</row>
    <row r="932" ht="12.75" customHeight="1">
      <c r="A932" s="10"/>
      <c r="B932" s="10"/>
      <c r="C932" s="10"/>
      <c r="D932" s="10"/>
      <c r="E932" s="10"/>
      <c r="F932" s="187"/>
      <c r="G932" s="188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</row>
    <row r="933" ht="12.75" customHeight="1">
      <c r="A933" s="10"/>
      <c r="B933" s="10"/>
      <c r="C933" s="10"/>
      <c r="D933" s="10"/>
      <c r="E933" s="10"/>
      <c r="F933" s="187"/>
      <c r="G933" s="188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</row>
    <row r="934" ht="12.75" customHeight="1">
      <c r="A934" s="10"/>
      <c r="B934" s="10"/>
      <c r="C934" s="10"/>
      <c r="D934" s="10"/>
      <c r="E934" s="10"/>
      <c r="F934" s="187"/>
      <c r="G934" s="188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</row>
    <row r="935" ht="12.75" customHeight="1">
      <c r="A935" s="10"/>
      <c r="B935" s="10"/>
      <c r="C935" s="10"/>
      <c r="D935" s="10"/>
      <c r="E935" s="10"/>
      <c r="F935" s="187"/>
      <c r="G935" s="188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</row>
    <row r="936" ht="12.75" customHeight="1">
      <c r="A936" s="10"/>
      <c r="B936" s="10"/>
      <c r="C936" s="10"/>
      <c r="D936" s="10"/>
      <c r="E936" s="10"/>
      <c r="F936" s="187"/>
      <c r="G936" s="188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</row>
    <row r="937" ht="12.75" customHeight="1">
      <c r="A937" s="10"/>
      <c r="B937" s="10"/>
      <c r="C937" s="10"/>
      <c r="D937" s="10"/>
      <c r="E937" s="10"/>
      <c r="F937" s="187"/>
      <c r="G937" s="188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</row>
    <row r="938" ht="12.75" customHeight="1">
      <c r="A938" s="10"/>
      <c r="B938" s="10"/>
      <c r="C938" s="10"/>
      <c r="D938" s="10"/>
      <c r="E938" s="10"/>
      <c r="F938" s="187"/>
      <c r="G938" s="188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</row>
    <row r="939" ht="12.75" customHeight="1">
      <c r="A939" s="10"/>
      <c r="B939" s="10"/>
      <c r="C939" s="10"/>
      <c r="D939" s="10"/>
      <c r="E939" s="10"/>
      <c r="F939" s="187"/>
      <c r="G939" s="188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</row>
    <row r="940" ht="12.75" customHeight="1">
      <c r="A940" s="10"/>
      <c r="B940" s="10"/>
      <c r="C940" s="10"/>
      <c r="D940" s="10"/>
      <c r="E940" s="10"/>
      <c r="F940" s="187"/>
      <c r="G940" s="188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</row>
    <row r="941" ht="12.75" customHeight="1">
      <c r="A941" s="10"/>
      <c r="B941" s="10"/>
      <c r="C941" s="10"/>
      <c r="D941" s="10"/>
      <c r="E941" s="10"/>
      <c r="F941" s="187"/>
      <c r="G941" s="188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</row>
    <row r="942" ht="12.75" customHeight="1">
      <c r="A942" s="10"/>
      <c r="B942" s="10"/>
      <c r="C942" s="10"/>
      <c r="D942" s="10"/>
      <c r="E942" s="10"/>
      <c r="F942" s="187"/>
      <c r="G942" s="188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</row>
    <row r="943" ht="12.75" customHeight="1">
      <c r="A943" s="10"/>
      <c r="B943" s="10"/>
      <c r="C943" s="10"/>
      <c r="D943" s="10"/>
      <c r="E943" s="10"/>
      <c r="F943" s="187"/>
      <c r="G943" s="188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</row>
    <row r="944" ht="12.75" customHeight="1">
      <c r="A944" s="10"/>
      <c r="B944" s="10"/>
      <c r="C944" s="10"/>
      <c r="D944" s="10"/>
      <c r="E944" s="10"/>
      <c r="F944" s="187"/>
      <c r="G944" s="188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</row>
    <row r="945" ht="12.75" customHeight="1">
      <c r="A945" s="10"/>
      <c r="B945" s="10"/>
      <c r="C945" s="10"/>
      <c r="D945" s="10"/>
      <c r="E945" s="10"/>
      <c r="F945" s="187"/>
      <c r="G945" s="188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</row>
    <row r="946" ht="12.75" customHeight="1">
      <c r="A946" s="10"/>
      <c r="B946" s="10"/>
      <c r="C946" s="10"/>
      <c r="D946" s="10"/>
      <c r="E946" s="10"/>
      <c r="F946" s="187"/>
      <c r="G946" s="188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</row>
    <row r="947" ht="12.75" customHeight="1">
      <c r="A947" s="10"/>
      <c r="B947" s="10"/>
      <c r="C947" s="10"/>
      <c r="D947" s="10"/>
      <c r="E947" s="10"/>
      <c r="F947" s="187"/>
      <c r="G947" s="188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</row>
    <row r="948" ht="12.75" customHeight="1">
      <c r="A948" s="10"/>
      <c r="B948" s="10"/>
      <c r="C948" s="10"/>
      <c r="D948" s="10"/>
      <c r="E948" s="10"/>
      <c r="F948" s="187"/>
      <c r="G948" s="188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</row>
    <row r="949" ht="12.75" customHeight="1">
      <c r="A949" s="10"/>
      <c r="B949" s="10"/>
      <c r="C949" s="10"/>
      <c r="D949" s="10"/>
      <c r="E949" s="10"/>
      <c r="F949" s="187"/>
      <c r="G949" s="188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</row>
    <row r="950" ht="12.75" customHeight="1">
      <c r="A950" s="10"/>
      <c r="B950" s="10"/>
      <c r="C950" s="10"/>
      <c r="D950" s="10"/>
      <c r="E950" s="10"/>
      <c r="F950" s="187"/>
      <c r="G950" s="188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</row>
    <row r="951" ht="12.75" customHeight="1">
      <c r="A951" s="10"/>
      <c r="B951" s="10"/>
      <c r="C951" s="10"/>
      <c r="D951" s="10"/>
      <c r="E951" s="10"/>
      <c r="F951" s="187"/>
      <c r="G951" s="188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</row>
    <row r="952" ht="12.75" customHeight="1">
      <c r="A952" s="10"/>
      <c r="B952" s="10"/>
      <c r="C952" s="10"/>
      <c r="D952" s="10"/>
      <c r="E952" s="10"/>
      <c r="F952" s="187"/>
      <c r="G952" s="188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</row>
    <row r="953" ht="12.75" customHeight="1">
      <c r="A953" s="10"/>
      <c r="B953" s="10"/>
      <c r="C953" s="10"/>
      <c r="D953" s="10"/>
      <c r="E953" s="10"/>
      <c r="F953" s="187"/>
      <c r="G953" s="188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</row>
    <row r="954" ht="12.75" customHeight="1">
      <c r="A954" s="10"/>
      <c r="B954" s="10"/>
      <c r="C954" s="10"/>
      <c r="D954" s="10"/>
      <c r="E954" s="10"/>
      <c r="F954" s="187"/>
      <c r="G954" s="188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</row>
    <row r="955" ht="12.75" customHeight="1">
      <c r="A955" s="10"/>
      <c r="B955" s="10"/>
      <c r="C955" s="10"/>
      <c r="D955" s="10"/>
      <c r="E955" s="10"/>
      <c r="F955" s="187"/>
      <c r="G955" s="188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</row>
    <row r="956" ht="12.75" customHeight="1">
      <c r="A956" s="10"/>
      <c r="B956" s="10"/>
      <c r="C956" s="10"/>
      <c r="D956" s="10"/>
      <c r="E956" s="10"/>
      <c r="F956" s="187"/>
      <c r="G956" s="188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</row>
    <row r="957" ht="12.75" customHeight="1">
      <c r="A957" s="10"/>
      <c r="B957" s="10"/>
      <c r="C957" s="10"/>
      <c r="D957" s="10"/>
      <c r="E957" s="10"/>
      <c r="F957" s="187"/>
      <c r="G957" s="188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</row>
    <row r="958" ht="12.75" customHeight="1">
      <c r="A958" s="10"/>
      <c r="B958" s="10"/>
      <c r="C958" s="10"/>
      <c r="D958" s="10"/>
      <c r="E958" s="10"/>
      <c r="F958" s="187"/>
      <c r="G958" s="188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</row>
    <row r="959" ht="12.75" customHeight="1">
      <c r="A959" s="10"/>
      <c r="B959" s="10"/>
      <c r="C959" s="10"/>
      <c r="D959" s="10"/>
      <c r="E959" s="10"/>
      <c r="F959" s="187"/>
      <c r="G959" s="188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</row>
    <row r="960" ht="12.75" customHeight="1">
      <c r="A960" s="10"/>
      <c r="B960" s="10"/>
      <c r="C960" s="10"/>
      <c r="D960" s="10"/>
      <c r="E960" s="10"/>
      <c r="F960" s="187"/>
      <c r="G960" s="188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</row>
    <row r="961" ht="12.75" customHeight="1">
      <c r="A961" s="10"/>
      <c r="B961" s="10"/>
      <c r="C961" s="10"/>
      <c r="D961" s="10"/>
      <c r="E961" s="10"/>
      <c r="F961" s="187"/>
      <c r="G961" s="188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</row>
    <row r="962" ht="12.75" customHeight="1">
      <c r="A962" s="10"/>
      <c r="B962" s="10"/>
      <c r="C962" s="10"/>
      <c r="D962" s="10"/>
      <c r="E962" s="10"/>
      <c r="F962" s="187"/>
      <c r="G962" s="188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</row>
    <row r="963" ht="12.75" customHeight="1">
      <c r="A963" s="10"/>
      <c r="B963" s="10"/>
      <c r="C963" s="10"/>
      <c r="D963" s="10"/>
      <c r="E963" s="10"/>
      <c r="F963" s="187"/>
      <c r="G963" s="188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</row>
    <row r="964" ht="12.75" customHeight="1">
      <c r="A964" s="10"/>
      <c r="B964" s="10"/>
      <c r="C964" s="10"/>
      <c r="D964" s="10"/>
      <c r="E964" s="10"/>
      <c r="F964" s="187"/>
      <c r="G964" s="188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</row>
    <row r="965" ht="12.75" customHeight="1">
      <c r="A965" s="10"/>
      <c r="B965" s="10"/>
      <c r="C965" s="10"/>
      <c r="D965" s="10"/>
      <c r="E965" s="10"/>
      <c r="F965" s="187"/>
      <c r="G965" s="188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</row>
    <row r="966" ht="12.75" customHeight="1">
      <c r="A966" s="10"/>
      <c r="B966" s="10"/>
      <c r="C966" s="10"/>
      <c r="D966" s="10"/>
      <c r="E966" s="10"/>
      <c r="F966" s="187"/>
      <c r="G966" s="188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</row>
    <row r="967" ht="12.75" customHeight="1">
      <c r="A967" s="10"/>
      <c r="B967" s="10"/>
      <c r="C967" s="10"/>
      <c r="D967" s="10"/>
      <c r="E967" s="10"/>
      <c r="F967" s="187"/>
      <c r="G967" s="188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</row>
    <row r="968" ht="12.75" customHeight="1">
      <c r="A968" s="10"/>
      <c r="B968" s="10"/>
      <c r="C968" s="10"/>
      <c r="D968" s="10"/>
      <c r="E968" s="10"/>
      <c r="F968" s="187"/>
      <c r="G968" s="188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</row>
    <row r="969" ht="12.75" customHeight="1">
      <c r="A969" s="10"/>
      <c r="B969" s="10"/>
      <c r="C969" s="10"/>
      <c r="D969" s="10"/>
      <c r="E969" s="10"/>
      <c r="F969" s="187"/>
      <c r="G969" s="188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</row>
    <row r="970" ht="12.75" customHeight="1">
      <c r="A970" s="10"/>
      <c r="B970" s="10"/>
      <c r="C970" s="10"/>
      <c r="D970" s="10"/>
      <c r="E970" s="10"/>
      <c r="F970" s="187"/>
      <c r="G970" s="188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</row>
    <row r="971" ht="12.75" customHeight="1">
      <c r="A971" s="10"/>
      <c r="B971" s="10"/>
      <c r="C971" s="10"/>
      <c r="D971" s="10"/>
      <c r="E971" s="10"/>
      <c r="F971" s="187"/>
      <c r="G971" s="188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</row>
    <row r="972" ht="12.75" customHeight="1">
      <c r="A972" s="10"/>
      <c r="B972" s="10"/>
      <c r="C972" s="10"/>
      <c r="D972" s="10"/>
      <c r="E972" s="10"/>
      <c r="F972" s="187"/>
      <c r="G972" s="188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</row>
    <row r="973" ht="12.75" customHeight="1">
      <c r="A973" s="10"/>
      <c r="B973" s="10"/>
      <c r="C973" s="10"/>
      <c r="D973" s="10"/>
      <c r="E973" s="10"/>
      <c r="F973" s="187"/>
      <c r="G973" s="188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</row>
    <row r="974" ht="12.75" customHeight="1">
      <c r="A974" s="10"/>
      <c r="B974" s="10"/>
      <c r="C974" s="10"/>
      <c r="D974" s="10"/>
      <c r="E974" s="10"/>
      <c r="F974" s="187"/>
      <c r="G974" s="188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</row>
    <row r="975" ht="12.75" customHeight="1">
      <c r="A975" s="10"/>
      <c r="B975" s="10"/>
      <c r="C975" s="10"/>
      <c r="D975" s="10"/>
      <c r="E975" s="10"/>
      <c r="F975" s="187"/>
      <c r="G975" s="188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</row>
    <row r="976" ht="12.75" customHeight="1">
      <c r="A976" s="10"/>
      <c r="B976" s="10"/>
      <c r="C976" s="10"/>
      <c r="D976" s="10"/>
      <c r="E976" s="10"/>
      <c r="F976" s="187"/>
      <c r="G976" s="188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</row>
    <row r="977" ht="12.75" customHeight="1">
      <c r="A977" s="10"/>
      <c r="B977" s="10"/>
      <c r="C977" s="10"/>
      <c r="D977" s="10"/>
      <c r="E977" s="10"/>
      <c r="F977" s="187"/>
      <c r="G977" s="188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</row>
    <row r="978" ht="12.75" customHeight="1">
      <c r="A978" s="10"/>
      <c r="B978" s="10"/>
      <c r="C978" s="10"/>
      <c r="D978" s="10"/>
      <c r="E978" s="10"/>
      <c r="F978" s="187"/>
      <c r="G978" s="188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</row>
    <row r="979" ht="12.75" customHeight="1">
      <c r="A979" s="10"/>
      <c r="B979" s="10"/>
      <c r="C979" s="10"/>
      <c r="D979" s="10"/>
      <c r="E979" s="10"/>
      <c r="F979" s="187"/>
      <c r="G979" s="188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</row>
    <row r="980" ht="12.75" customHeight="1">
      <c r="A980" s="10"/>
      <c r="B980" s="10"/>
      <c r="C980" s="10"/>
      <c r="D980" s="10"/>
      <c r="E980" s="10"/>
      <c r="F980" s="187"/>
      <c r="G980" s="188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</row>
    <row r="981" ht="12.75" customHeight="1">
      <c r="A981" s="10"/>
      <c r="B981" s="10"/>
      <c r="C981" s="10"/>
      <c r="D981" s="10"/>
      <c r="E981" s="10"/>
      <c r="F981" s="187"/>
      <c r="G981" s="188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</row>
    <row r="982" ht="12.75" customHeight="1">
      <c r="A982" s="10"/>
      <c r="B982" s="10"/>
      <c r="C982" s="10"/>
      <c r="D982" s="10"/>
      <c r="E982" s="10"/>
      <c r="F982" s="187"/>
      <c r="G982" s="188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</row>
    <row r="983" ht="12.75" customHeight="1">
      <c r="A983" s="10"/>
      <c r="B983" s="10"/>
      <c r="C983" s="10"/>
      <c r="D983" s="10"/>
      <c r="E983" s="10"/>
      <c r="F983" s="187"/>
      <c r="G983" s="188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</row>
    <row r="984" ht="12.75" customHeight="1">
      <c r="A984" s="10"/>
      <c r="B984" s="10"/>
      <c r="C984" s="10"/>
      <c r="D984" s="10"/>
      <c r="E984" s="10"/>
      <c r="F984" s="187"/>
      <c r="G984" s="188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</row>
    <row r="985" ht="12.75" customHeight="1">
      <c r="A985" s="10"/>
      <c r="B985" s="10"/>
      <c r="C985" s="10"/>
      <c r="D985" s="10"/>
      <c r="E985" s="10"/>
      <c r="F985" s="187"/>
      <c r="G985" s="188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</row>
    <row r="986" ht="12.75" customHeight="1">
      <c r="A986" s="10"/>
      <c r="B986" s="10"/>
      <c r="C986" s="10"/>
      <c r="D986" s="10"/>
      <c r="E986" s="10"/>
      <c r="F986" s="187"/>
      <c r="G986" s="188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</row>
    <row r="987" ht="12.75" customHeight="1">
      <c r="A987" s="10"/>
      <c r="B987" s="10"/>
      <c r="C987" s="10"/>
      <c r="D987" s="10"/>
      <c r="E987" s="10"/>
      <c r="F987" s="187"/>
      <c r="G987" s="188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</row>
    <row r="988" ht="12.75" customHeight="1">
      <c r="A988" s="10"/>
      <c r="B988" s="10"/>
      <c r="C988" s="10"/>
      <c r="D988" s="10"/>
      <c r="E988" s="10"/>
      <c r="F988" s="187"/>
      <c r="G988" s="188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</row>
    <row r="989" ht="12.75" customHeight="1">
      <c r="A989" s="10"/>
      <c r="B989" s="10"/>
      <c r="C989" s="10"/>
      <c r="D989" s="10"/>
      <c r="E989" s="10"/>
      <c r="F989" s="187"/>
      <c r="G989" s="188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</row>
    <row r="990" ht="12.75" customHeight="1">
      <c r="A990" s="10"/>
      <c r="B990" s="10"/>
      <c r="C990" s="10"/>
      <c r="D990" s="10"/>
      <c r="E990" s="10"/>
      <c r="F990" s="187"/>
      <c r="G990" s="188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</row>
    <row r="991" ht="12.75" customHeight="1">
      <c r="A991" s="10"/>
      <c r="B991" s="10"/>
      <c r="C991" s="10"/>
      <c r="D991" s="10"/>
      <c r="E991" s="10"/>
      <c r="F991" s="187"/>
      <c r="G991" s="188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</row>
    <row r="992" ht="12.75" customHeight="1">
      <c r="A992" s="10"/>
      <c r="B992" s="10"/>
      <c r="C992" s="10"/>
      <c r="D992" s="10"/>
      <c r="E992" s="10"/>
      <c r="F992" s="187"/>
      <c r="G992" s="188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</row>
    <row r="993" ht="12.75" customHeight="1">
      <c r="A993" s="10"/>
      <c r="B993" s="10"/>
      <c r="C993" s="10"/>
      <c r="D993" s="10"/>
      <c r="E993" s="10"/>
      <c r="F993" s="187"/>
      <c r="G993" s="188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</row>
    <row r="994" ht="12.75" customHeight="1">
      <c r="A994" s="10"/>
      <c r="B994" s="10"/>
      <c r="C994" s="10"/>
      <c r="D994" s="10"/>
      <c r="E994" s="10"/>
      <c r="F994" s="187"/>
      <c r="G994" s="188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</row>
    <row r="995" ht="12.75" customHeight="1">
      <c r="A995" s="10"/>
      <c r="B995" s="10"/>
      <c r="C995" s="10"/>
      <c r="D995" s="10"/>
      <c r="E995" s="10"/>
      <c r="F995" s="187"/>
      <c r="G995" s="188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</row>
    <row r="996" ht="12.75" customHeight="1">
      <c r="A996" s="10"/>
      <c r="B996" s="10"/>
      <c r="C996" s="10"/>
      <c r="D996" s="10"/>
      <c r="E996" s="10"/>
      <c r="F996" s="187"/>
      <c r="G996" s="188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</row>
    <row r="997" ht="12.75" customHeight="1">
      <c r="A997" s="10"/>
      <c r="B997" s="10"/>
      <c r="C997" s="10"/>
      <c r="D997" s="10"/>
      <c r="E997" s="10"/>
      <c r="F997" s="187"/>
      <c r="G997" s="188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</row>
    <row r="998" ht="12.75" customHeight="1">
      <c r="A998" s="10"/>
      <c r="B998" s="10"/>
      <c r="C998" s="10"/>
      <c r="D998" s="10"/>
      <c r="E998" s="10"/>
      <c r="F998" s="187"/>
      <c r="G998" s="188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</row>
    <row r="999" ht="12.75" customHeight="1">
      <c r="A999" s="10"/>
      <c r="B999" s="10"/>
      <c r="C999" s="10"/>
      <c r="D999" s="10"/>
      <c r="E999" s="10"/>
      <c r="F999" s="187"/>
      <c r="G999" s="188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</row>
    <row r="1000" ht="12.75" customHeight="1">
      <c r="A1000" s="10"/>
      <c r="B1000" s="10"/>
      <c r="C1000" s="10"/>
      <c r="D1000" s="10"/>
      <c r="E1000" s="10"/>
      <c r="F1000" s="187"/>
      <c r="G1000" s="188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</row>
  </sheetData>
  <mergeCells count="42">
    <mergeCell ref="L7:Z7"/>
    <mergeCell ref="AG7:AK7"/>
    <mergeCell ref="Y49:AL49"/>
    <mergeCell ref="AM51:AN51"/>
    <mergeCell ref="Z53:AG53"/>
    <mergeCell ref="AA54:AH54"/>
    <mergeCell ref="F1:AM2"/>
    <mergeCell ref="A3:AN3"/>
    <mergeCell ref="E4:AJ4"/>
    <mergeCell ref="Q5:R5"/>
    <mergeCell ref="S5:U5"/>
    <mergeCell ref="AC5:AF5"/>
    <mergeCell ref="F6:Z6"/>
    <mergeCell ref="U8:V8"/>
    <mergeCell ref="W8:Z8"/>
    <mergeCell ref="I10:AM10"/>
    <mergeCell ref="AN11:AN12"/>
    <mergeCell ref="AO11:AO12"/>
    <mergeCell ref="G5:K5"/>
    <mergeCell ref="F7:H7"/>
    <mergeCell ref="F8:G8"/>
    <mergeCell ref="I8:J8"/>
    <mergeCell ref="K8:N8"/>
    <mergeCell ref="O8:P8"/>
    <mergeCell ref="Q8:T8"/>
    <mergeCell ref="A10:A12"/>
    <mergeCell ref="D10:D12"/>
    <mergeCell ref="E10:E12"/>
    <mergeCell ref="F10:F12"/>
    <mergeCell ref="H10:H12"/>
    <mergeCell ref="B11:B12"/>
    <mergeCell ref="C11:C12"/>
    <mergeCell ref="D56:G56"/>
    <mergeCell ref="D57:G57"/>
    <mergeCell ref="D58:G58"/>
    <mergeCell ref="G10:G12"/>
    <mergeCell ref="D50:G50"/>
    <mergeCell ref="D51:G51"/>
    <mergeCell ref="D52:G52"/>
    <mergeCell ref="D53:G53"/>
    <mergeCell ref="D54:G54"/>
    <mergeCell ref="D55:G55"/>
  </mergeCells>
  <conditionalFormatting sqref="I12:AM12">
    <cfRule type="cellIs" dxfId="0" priority="1" operator="equal">
      <formula>"do."</formula>
    </cfRule>
  </conditionalFormatting>
  <conditionalFormatting sqref="I12:AM12">
    <cfRule type="cellIs" dxfId="0" priority="2" operator="equal">
      <formula>"D"</formula>
    </cfRule>
  </conditionalFormatting>
  <conditionalFormatting sqref="I12:AM12">
    <cfRule type="containsText" dxfId="0" priority="3" operator="containsText" text="S">
      <formula>NOT(ISERROR(SEARCH(("S"),(I12))))</formula>
    </cfRule>
  </conditionalFormatting>
  <conditionalFormatting sqref="I13:AN13 AN17:AN48 AN14">
    <cfRule type="cellIs" dxfId="1" priority="4" operator="equal">
      <formula>$C$50</formula>
    </cfRule>
  </conditionalFormatting>
  <conditionalFormatting sqref="I13:AN13 AN17:AN48 AN14">
    <cfRule type="cellIs" dxfId="2" priority="5" operator="equal">
      <formula>$C$50</formula>
    </cfRule>
  </conditionalFormatting>
  <conditionalFormatting sqref="I14:AM48">
    <cfRule type="cellIs" dxfId="1" priority="6" operator="equal">
      <formula>$C$93</formula>
    </cfRule>
  </conditionalFormatting>
  <conditionalFormatting sqref="I14:AM48">
    <cfRule type="cellIs" dxfId="2" priority="7" operator="equal">
      <formula>$C$93</formula>
    </cfRule>
  </conditionalFormatting>
  <conditionalFormatting sqref="I13:AM13">
    <cfRule type="cellIs" dxfId="3" priority="8" operator="equal">
      <formula>$C$52</formula>
    </cfRule>
  </conditionalFormatting>
  <conditionalFormatting sqref="I13:AM13">
    <cfRule type="cellIs" dxfId="4" priority="9" operator="equal">
      <formula>$C$51</formula>
    </cfRule>
  </conditionalFormatting>
  <conditionalFormatting sqref="I13:AM13">
    <cfRule type="cellIs" dxfId="5" priority="10" operator="equal">
      <formula>#REF!</formula>
    </cfRule>
  </conditionalFormatting>
  <conditionalFormatting sqref="I13:AM13">
    <cfRule type="cellIs" dxfId="6" priority="11" operator="equal">
      <formula>#REF!</formula>
    </cfRule>
  </conditionalFormatting>
  <conditionalFormatting sqref="I13:AM13">
    <cfRule type="cellIs" dxfId="7" priority="12" operator="equal">
      <formula>$I$12="S"</formula>
    </cfRule>
  </conditionalFormatting>
  <conditionalFormatting sqref="I13:AM13">
    <cfRule type="cellIs" dxfId="8" priority="13" operator="equal">
      <formula>#REF!</formula>
    </cfRule>
  </conditionalFormatting>
  <conditionalFormatting sqref="I14:AM48">
    <cfRule type="cellIs" dxfId="3" priority="14" operator="equal">
      <formula>$C$97</formula>
    </cfRule>
  </conditionalFormatting>
  <conditionalFormatting sqref="I14:AM48">
    <cfRule type="cellIs" dxfId="4" priority="15" operator="equal">
      <formula>$C$96</formula>
    </cfRule>
  </conditionalFormatting>
  <conditionalFormatting sqref="I14:AM48">
    <cfRule type="cellIs" dxfId="5" priority="16" operator="equal">
      <formula>$C$95</formula>
    </cfRule>
  </conditionalFormatting>
  <conditionalFormatting sqref="I14:AM48">
    <cfRule type="cellIs" dxfId="6" priority="17" operator="equal">
      <formula>$C$94</formula>
    </cfRule>
  </conditionalFormatting>
  <conditionalFormatting sqref="I14:AM48">
    <cfRule type="cellIs" dxfId="7" priority="18" operator="equal">
      <formula>$I$12="S"</formula>
    </cfRule>
  </conditionalFormatting>
  <conditionalFormatting sqref="I14:AM48">
    <cfRule type="cellIs" dxfId="8" priority="19" operator="equal">
      <formula>$G$94</formula>
    </cfRule>
  </conditionalFormatting>
  <dataValidations>
    <dataValidation type="list" allowBlank="1" showErrorMessage="1" sqref="G5">
      <formula1>MESES</formula1>
    </dataValidation>
    <dataValidation type="list" allowBlank="1" showErrorMessage="1" sqref="G14:G48">
      <formula1>$BF$2:$BF$7</formula1>
    </dataValidation>
    <dataValidation type="list" allowBlank="1" sqref="F14:F48">
      <formula1>$BE$2:$BE$15</formula1>
    </dataValidation>
    <dataValidation type="list" allowBlank="1" showErrorMessage="1" sqref="C13:D13 C14:C48 C49:D49">
      <formula1>$B$216:$B$227</formula1>
    </dataValidation>
    <dataValidation type="list" allowBlank="1" showErrorMessage="1" sqref="F6">
      <formula1>DATA!$A:$A</formula1>
    </dataValidation>
    <dataValidation type="list" allowBlank="1" showErrorMessage="1" sqref="AC5">
      <formula1>$BG$2:$BG$4</formula1>
    </dataValidation>
  </dataValidations>
  <printOptions/>
  <pageMargins bottom="0.19" footer="0.0" header="0.0" left="0.2362204724409449" right="0.2362204724409449" top="0.33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hidden="1" min="2" max="2" width="8.29"/>
    <col customWidth="1" hidden="1" min="3" max="3" width="4.29"/>
    <col customWidth="1" min="4" max="4" width="11.0"/>
    <col customWidth="1" min="5" max="5" width="36.57"/>
    <col customWidth="1" min="6" max="6" width="10.29"/>
    <col customWidth="1" min="7" max="7" width="10.57"/>
    <col customWidth="1" min="8" max="8" width="9.71"/>
    <col customWidth="1" min="9" max="9" width="2.29"/>
    <col customWidth="1" min="10" max="10" width="13.86"/>
    <col customWidth="1" min="11" max="11" width="2.0"/>
    <col customWidth="1" min="12" max="12" width="8.0"/>
    <col customWidth="1" min="13" max="13" width="8.29"/>
    <col customWidth="1" min="14" max="14" width="6.57"/>
    <col customWidth="1" min="15" max="15" width="2.29"/>
    <col customWidth="1" min="16" max="16" width="10.29"/>
    <col customWidth="1" min="17" max="17" width="2.14"/>
    <col customWidth="1" min="18" max="18" width="10.71"/>
    <col customWidth="1" min="19" max="19" width="2.0"/>
    <col customWidth="1" min="20" max="20" width="8.86"/>
    <col customWidth="1" min="21" max="21" width="11.14"/>
    <col customWidth="1" min="22" max="22" width="2.29"/>
    <col customWidth="1" min="23" max="23" width="11.29"/>
    <col customWidth="1" min="24" max="24" width="1.86"/>
    <col customWidth="1" min="25" max="32" width="3.71"/>
    <col customWidth="1" min="33" max="33" width="13.71"/>
    <col customWidth="1" hidden="1" min="34" max="34" width="4.71"/>
    <col customWidth="1" hidden="1" min="35" max="35" width="0.86"/>
    <col customWidth="1" min="36" max="39" width="11.57"/>
  </cols>
  <sheetData>
    <row r="1" ht="19.5" customHeight="1">
      <c r="A1" s="6"/>
      <c r="B1" s="6"/>
      <c r="C1" s="6"/>
      <c r="D1" s="6"/>
      <c r="E1" s="6"/>
      <c r="F1" s="16" t="s">
        <v>27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20"/>
      <c r="AH1" s="21"/>
      <c r="AI1" s="21"/>
      <c r="AJ1" s="21"/>
      <c r="AK1" s="21"/>
      <c r="AL1" s="10"/>
      <c r="AM1" s="10"/>
    </row>
    <row r="2" ht="19.5" customHeight="1">
      <c r="A2" s="6"/>
      <c r="B2" s="6"/>
      <c r="C2" s="6"/>
      <c r="D2" s="6"/>
      <c r="E2" s="6"/>
      <c r="F2" s="23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9"/>
      <c r="AH2" s="21"/>
      <c r="AI2" s="21"/>
      <c r="AJ2" s="21"/>
      <c r="AK2" s="21"/>
      <c r="AL2" s="10"/>
      <c r="AM2" s="10"/>
    </row>
    <row r="3" ht="12.75" customHeight="1">
      <c r="A3" s="12" t="s">
        <v>132</v>
      </c>
      <c r="AI3" s="1"/>
      <c r="AJ3" s="10"/>
      <c r="AK3" s="10"/>
      <c r="AL3" s="10"/>
      <c r="AM3" s="10"/>
    </row>
    <row r="4" ht="15.0" customHeight="1">
      <c r="A4" s="10"/>
      <c r="B4" s="13"/>
      <c r="C4" s="13"/>
      <c r="D4" s="13"/>
      <c r="E4" s="35" t="s">
        <v>145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9"/>
      <c r="AH4" s="13"/>
      <c r="AI4" s="13"/>
      <c r="AJ4" s="10"/>
      <c r="AK4" s="10"/>
      <c r="AL4" s="10"/>
      <c r="AM4" s="10"/>
    </row>
    <row r="5" ht="18.0" customHeight="1">
      <c r="A5" s="22"/>
      <c r="B5" s="1"/>
      <c r="C5" s="1"/>
      <c r="D5" s="1"/>
      <c r="E5" s="22" t="s">
        <v>105</v>
      </c>
      <c r="F5" s="30" t="s">
        <v>109</v>
      </c>
      <c r="G5" s="42" t="str">
        <f>+ASISTENCIA!G5</f>
        <v>MARZO</v>
      </c>
      <c r="H5" s="25"/>
      <c r="I5" s="25"/>
      <c r="J5" s="25"/>
      <c r="K5" s="25"/>
      <c r="L5" s="31">
        <f>VLOOKUP(G5,CALEND!$A$17:$B$28,2,FALSE)</f>
        <v>3</v>
      </c>
      <c r="M5" s="31"/>
      <c r="N5" s="32"/>
      <c r="O5" s="34"/>
      <c r="P5" s="42">
        <f>+ASISTENCIA!X5*1</f>
        <v>2021</v>
      </c>
      <c r="Q5" s="1"/>
      <c r="R5" s="1"/>
      <c r="S5" s="1"/>
      <c r="T5" s="1"/>
      <c r="U5" s="1"/>
      <c r="V5" s="1"/>
      <c r="W5" s="1"/>
      <c r="X5" s="1"/>
      <c r="Y5" s="48"/>
      <c r="Z5" s="30" t="s">
        <v>160</v>
      </c>
      <c r="AA5" s="36"/>
      <c r="AB5" s="36"/>
      <c r="AC5" s="53" t="str">
        <f>+ASISTENCIA!AC5</f>
        <v>Turno_of</v>
      </c>
      <c r="AG5" s="36"/>
      <c r="AH5" s="36"/>
      <c r="AI5" s="36"/>
      <c r="AJ5" s="1"/>
      <c r="AK5" s="1"/>
      <c r="AL5" s="1"/>
      <c r="AM5" s="1"/>
    </row>
    <row r="6" ht="18.0" customHeight="1">
      <c r="A6" s="1"/>
      <c r="B6" s="1"/>
      <c r="C6" s="1"/>
      <c r="D6" s="1"/>
      <c r="E6" s="22" t="s">
        <v>188</v>
      </c>
      <c r="F6" s="43" t="s">
        <v>0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5"/>
      <c r="Y6" s="22"/>
      <c r="Z6" s="22"/>
      <c r="AA6" s="22"/>
      <c r="AB6" s="22"/>
      <c r="AC6" s="22"/>
      <c r="AD6" s="22"/>
      <c r="AE6" s="22"/>
      <c r="AF6" s="46"/>
      <c r="AG6" s="46"/>
      <c r="AH6" s="51"/>
      <c r="AI6" s="1"/>
      <c r="AJ6" s="1"/>
      <c r="AK6" s="1"/>
      <c r="AL6" s="1"/>
      <c r="AM6" s="1"/>
    </row>
    <row r="7" ht="15.0" customHeight="1">
      <c r="A7" s="1"/>
      <c r="B7" s="1"/>
      <c r="C7" s="1"/>
      <c r="D7" s="1"/>
      <c r="E7" s="22" t="s">
        <v>219</v>
      </c>
      <c r="F7" s="54" t="str">
        <f>VLOOKUP($F$6,DATA!$A$1:$S$284,4,FALSE)</f>
        <v>Nivel / Modalidad</v>
      </c>
      <c r="G7" s="44"/>
      <c r="H7" s="45"/>
      <c r="I7" s="55"/>
      <c r="J7" s="22" t="s">
        <v>229</v>
      </c>
      <c r="K7" s="1"/>
      <c r="L7" s="61" t="str">
        <f>VLOOKUP($F$6,DATA!$A:$S,6,FALSE)</f>
        <v>Dirección de IE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22"/>
      <c r="Z7" s="22"/>
      <c r="AA7" s="22"/>
      <c r="AB7" s="22"/>
      <c r="AC7" s="22"/>
      <c r="AD7" s="22"/>
      <c r="AE7" s="22"/>
      <c r="AF7" s="1"/>
      <c r="AG7" s="46"/>
      <c r="AH7" s="30"/>
      <c r="AI7" s="49"/>
      <c r="AJ7" s="1"/>
      <c r="AK7" s="1"/>
      <c r="AL7" s="1"/>
      <c r="AM7" s="1"/>
    </row>
    <row r="8" ht="15.0" customHeight="1">
      <c r="A8" s="1"/>
      <c r="B8" s="38"/>
      <c r="C8" s="38"/>
      <c r="D8" s="38"/>
      <c r="E8" s="22" t="s">
        <v>252</v>
      </c>
      <c r="F8" s="54" t="str">
        <f>VLOOKUP($F$6,DATA!$A$1:$S$284,2,FALSE)</f>
        <v>Código modular</v>
      </c>
      <c r="G8" s="45"/>
      <c r="H8" s="1"/>
      <c r="I8" s="68"/>
      <c r="J8" s="69" t="s">
        <v>303</v>
      </c>
      <c r="K8" s="71"/>
      <c r="L8" s="59" t="s">
        <v>263</v>
      </c>
      <c r="M8" s="44"/>
      <c r="N8" s="45"/>
      <c r="O8" s="71"/>
      <c r="P8" s="68" t="s">
        <v>315</v>
      </c>
      <c r="Q8" s="76"/>
      <c r="R8" s="59" t="s">
        <v>273</v>
      </c>
      <c r="S8" s="44"/>
      <c r="T8" s="45"/>
      <c r="U8" s="68" t="s">
        <v>327</v>
      </c>
      <c r="V8" s="79"/>
      <c r="W8" s="79"/>
      <c r="X8" s="80"/>
      <c r="Y8" s="22"/>
      <c r="Z8" s="22"/>
      <c r="AA8" s="22"/>
      <c r="AB8" s="22"/>
      <c r="AC8" s="22"/>
      <c r="AD8" s="22"/>
      <c r="AE8" s="22"/>
      <c r="AF8" s="1"/>
      <c r="AG8" s="1"/>
      <c r="AH8" s="1"/>
      <c r="AI8" s="1"/>
      <c r="AJ8" s="1"/>
      <c r="AK8" s="1"/>
      <c r="AL8" s="1"/>
      <c r="AM8" s="1"/>
    </row>
    <row r="9" ht="3.0" customHeight="1">
      <c r="A9" s="10"/>
      <c r="B9" s="10"/>
      <c r="C9" s="10"/>
      <c r="D9" s="10"/>
      <c r="E9" s="63"/>
      <c r="F9" s="81"/>
      <c r="G9" s="65"/>
      <c r="H9" s="65"/>
      <c r="I9" s="65"/>
      <c r="J9" s="65"/>
      <c r="K9" s="65"/>
      <c r="L9" s="65"/>
      <c r="M9" s="65"/>
      <c r="N9" s="65"/>
      <c r="O9" s="66"/>
      <c r="P9" s="66"/>
      <c r="Q9" s="66"/>
      <c r="R9" s="66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10"/>
      <c r="AK9" s="10"/>
      <c r="AL9" s="10"/>
      <c r="AM9" s="10"/>
    </row>
    <row r="10" ht="27.0" customHeight="1">
      <c r="A10" s="70" t="s">
        <v>302</v>
      </c>
      <c r="B10" s="73"/>
      <c r="C10" s="73"/>
      <c r="D10" s="70" t="s">
        <v>310</v>
      </c>
      <c r="E10" s="70" t="s">
        <v>314</v>
      </c>
      <c r="F10" s="70" t="s">
        <v>44</v>
      </c>
      <c r="G10" s="77" t="s">
        <v>45</v>
      </c>
      <c r="H10" s="77" t="s">
        <v>321</v>
      </c>
      <c r="I10" s="74"/>
      <c r="J10" s="95" t="s">
        <v>368</v>
      </c>
      <c r="K10" s="97"/>
      <c r="L10" s="101" t="s">
        <v>379</v>
      </c>
      <c r="M10" s="44"/>
      <c r="N10" s="45"/>
      <c r="O10" s="103"/>
      <c r="P10" s="104" t="s">
        <v>385</v>
      </c>
      <c r="Q10" s="103"/>
      <c r="R10" s="107" t="s">
        <v>387</v>
      </c>
      <c r="S10" s="97"/>
      <c r="T10" s="108" t="s">
        <v>389</v>
      </c>
      <c r="U10" s="45"/>
      <c r="V10" s="109"/>
      <c r="W10" s="107" t="s">
        <v>395</v>
      </c>
      <c r="X10" s="74"/>
      <c r="Y10" s="113" t="s">
        <v>396</v>
      </c>
      <c r="Z10" s="17"/>
      <c r="AA10" s="17"/>
      <c r="AB10" s="17"/>
      <c r="AC10" s="17"/>
      <c r="AD10" s="17"/>
      <c r="AE10" s="17"/>
      <c r="AF10" s="17"/>
      <c r="AG10" s="20"/>
      <c r="AH10" s="65"/>
      <c r="AI10" s="65"/>
      <c r="AJ10" s="10"/>
      <c r="AK10" s="10"/>
      <c r="AL10" s="10"/>
      <c r="AM10" s="10"/>
    </row>
    <row r="11" ht="33.0" customHeight="1">
      <c r="A11" s="105"/>
      <c r="B11" s="85" t="s">
        <v>341</v>
      </c>
      <c r="C11" s="115" t="s">
        <v>342</v>
      </c>
      <c r="D11" s="105"/>
      <c r="E11" s="105"/>
      <c r="F11" s="105"/>
      <c r="G11" s="105"/>
      <c r="H11" s="105"/>
      <c r="I11" s="118"/>
      <c r="J11" s="107" t="s">
        <v>412</v>
      </c>
      <c r="K11" s="119"/>
      <c r="L11" s="107" t="s">
        <v>413</v>
      </c>
      <c r="M11" s="107" t="s">
        <v>414</v>
      </c>
      <c r="N11" s="107" t="s">
        <v>416</v>
      </c>
      <c r="O11" s="119"/>
      <c r="P11" s="107" t="s">
        <v>412</v>
      </c>
      <c r="Q11" s="119"/>
      <c r="R11" s="107" t="s">
        <v>420</v>
      </c>
      <c r="S11" s="122"/>
      <c r="T11" s="124" t="s">
        <v>423</v>
      </c>
      <c r="U11" s="124" t="s">
        <v>424</v>
      </c>
      <c r="V11" s="122"/>
      <c r="W11" s="107" t="s">
        <v>412</v>
      </c>
      <c r="X11" s="118"/>
      <c r="Y11" s="23"/>
      <c r="Z11" s="25"/>
      <c r="AA11" s="25"/>
      <c r="AB11" s="25"/>
      <c r="AC11" s="25"/>
      <c r="AD11" s="25"/>
      <c r="AE11" s="25"/>
      <c r="AF11" s="25"/>
      <c r="AG11" s="29"/>
      <c r="AH11" s="128" t="s">
        <v>366</v>
      </c>
      <c r="AI11" s="130" t="s">
        <v>373</v>
      </c>
      <c r="AJ11" s="102"/>
      <c r="AK11" s="102"/>
      <c r="AL11" s="102"/>
      <c r="AM11" s="102"/>
    </row>
    <row r="12" ht="12.75" hidden="1" customHeight="1">
      <c r="A12" s="132"/>
      <c r="B12" s="132" t="str">
        <f>IF(LEN(C12)&gt;0,VLOOKUP($F$6,DATA!$A:$S,2,FALSE),"")</f>
        <v/>
      </c>
      <c r="C12" s="134" t="str">
        <f t="shared" ref="C12:C42" si="4">IF(LEN(E12)&gt;0,$G$5,"")</f>
        <v/>
      </c>
      <c r="D12" s="134"/>
      <c r="E12" s="136"/>
      <c r="F12" s="137"/>
      <c r="G12" s="139"/>
      <c r="H12" s="139"/>
      <c r="I12" s="143" t="str">
        <f t="shared" ref="I12:L12" si="1">IF(AND(LEN($E12)&gt;0,#REF!&lt;&gt;"sá.",#REF!&lt;&gt;"do.",#REF!&lt;&gt;""),"C","")</f>
        <v>#REF!</v>
      </c>
      <c r="J12" s="144" t="str">
        <f t="shared" si="1"/>
        <v>#REF!</v>
      </c>
      <c r="K12" s="143" t="str">
        <f t="shared" si="1"/>
        <v>#REF!</v>
      </c>
      <c r="L12" s="144" t="str">
        <f t="shared" si="1"/>
        <v>#REF!</v>
      </c>
      <c r="M12" s="144"/>
      <c r="N12" s="144" t="str">
        <f t="shared" ref="N12:P12" si="2">IF(AND(LEN($E12)&gt;0,#REF!&lt;&gt;"sá.",#REF!&lt;&gt;"do.",#REF!&lt;&gt;""),"C","")</f>
        <v>#REF!</v>
      </c>
      <c r="O12" s="143" t="str">
        <f t="shared" si="2"/>
        <v>#REF!</v>
      </c>
      <c r="P12" s="144" t="str">
        <f t="shared" si="2"/>
        <v>#REF!</v>
      </c>
      <c r="Q12" s="143"/>
      <c r="R12" s="144" t="str">
        <f>IF(AND(LEN($E12)&gt;0,#REF!&lt;&gt;"sá.",#REF!&lt;&gt;"do.",#REF!&lt;&gt;""),"C","")</f>
        <v>#REF!</v>
      </c>
      <c r="S12" s="143"/>
      <c r="T12" s="144" t="str">
        <f>IF(AND(LEN($E12)&gt;0,#REF!&lt;&gt;"sá.",#REF!&lt;&gt;"do.",#REF!&lt;&gt;""),"C","")</f>
        <v>#REF!</v>
      </c>
      <c r="U12" s="144"/>
      <c r="V12" s="143"/>
      <c r="W12" s="144" t="str">
        <f>IF(AND(LEN($E12)&gt;0,#REF!&lt;&gt;"sá.",#REF!&lt;&gt;"do.",#REF!&lt;&gt;""),"C","")</f>
        <v>#REF!</v>
      </c>
      <c r="X12" s="143"/>
      <c r="Y12" s="144" t="str">
        <f t="shared" ref="Y12:AG12" si="3">IF(AND(LEN($E12)&gt;0,#REF!&lt;&gt;"sá.",#REF!&lt;&gt;"do.",#REF!&lt;&gt;""),"C","")</f>
        <v>#REF!</v>
      </c>
      <c r="Z12" s="144" t="str">
        <f t="shared" si="3"/>
        <v>#REF!</v>
      </c>
      <c r="AA12" s="144" t="str">
        <f t="shared" si="3"/>
        <v>#REF!</v>
      </c>
      <c r="AB12" s="144" t="str">
        <f t="shared" si="3"/>
        <v>#REF!</v>
      </c>
      <c r="AC12" s="144" t="str">
        <f t="shared" si="3"/>
        <v>#REF!</v>
      </c>
      <c r="AD12" s="144" t="str">
        <f t="shared" si="3"/>
        <v>#REF!</v>
      </c>
      <c r="AE12" s="144" t="str">
        <f t="shared" si="3"/>
        <v>#REF!</v>
      </c>
      <c r="AF12" s="144" t="str">
        <f t="shared" si="3"/>
        <v>#REF!</v>
      </c>
      <c r="AG12" s="144" t="str">
        <f t="shared" si="3"/>
        <v>#REF!</v>
      </c>
      <c r="AH12" s="136" t="str">
        <f t="shared" ref="AH12:AH40" si="5">IF(OR(COUNTIF($I12:$AG12,"X")&gt;0,COUNTIF($I12:$AG12,"L")&gt;0),COUNTIF($I12:$AG12,"X")+COUNTIF($I12:$AG12,"L"),"")</f>
        <v/>
      </c>
      <c r="AI12" s="156"/>
      <c r="AJ12" s="157"/>
      <c r="AK12" s="157"/>
      <c r="AL12" s="157"/>
      <c r="AM12" s="157"/>
    </row>
    <row r="13" ht="15.75" customHeight="1">
      <c r="A13" s="132">
        <v>1.0</v>
      </c>
      <c r="B13" s="132" t="str">
        <f>IF(LEN(C13)&gt;0,VLOOKUP($F$6,DATA!$A:$S,2,FALSE),"")</f>
        <v/>
      </c>
      <c r="C13" s="134" t="str">
        <f t="shared" si="4"/>
        <v/>
      </c>
      <c r="D13" s="158" t="str">
        <f>IF(+ASISTENCIA!D14="","",ASISTENCIA!D14)</f>
        <v/>
      </c>
      <c r="E13" s="136" t="str">
        <f>IF(+ASISTENCIA!E14="","",ASISTENCIA!E14)</f>
        <v/>
      </c>
      <c r="F13" s="159" t="str">
        <f>IF(+ASISTENCIA!F14="","",ASISTENCIA!F14)</f>
        <v/>
      </c>
      <c r="G13" s="159" t="str">
        <f>IF(+ASISTENCIA!G14="","",ASISTENCIA!G14)</f>
        <v/>
      </c>
      <c r="H13" s="144" t="str">
        <f>IF(+ASISTENCIA!H14="","",ASISTENCIA!H14)</f>
        <v/>
      </c>
      <c r="I13" s="143"/>
      <c r="J13" s="164">
        <f>ASISTENCIA!AQ14</f>
        <v>0</v>
      </c>
      <c r="K13" s="143"/>
      <c r="L13" s="144">
        <f>ASISTENCIA!AR14</f>
        <v>0</v>
      </c>
      <c r="M13" s="144">
        <f>ASISTENCIA!AS14</f>
        <v>0</v>
      </c>
      <c r="N13" s="144">
        <f>ASISTENCIA!AU14</f>
        <v>0</v>
      </c>
      <c r="O13" s="143"/>
      <c r="P13" s="144">
        <f>ASISTENCIA!AT14</f>
        <v>0</v>
      </c>
      <c r="Q13" s="166"/>
      <c r="R13" s="144">
        <f>ASISTENCIA!AW14</f>
        <v>0</v>
      </c>
      <c r="S13" s="166"/>
      <c r="T13" s="144"/>
      <c r="U13" s="144"/>
      <c r="V13" s="166"/>
      <c r="W13" s="144"/>
      <c r="X13" s="166"/>
      <c r="Y13" s="169"/>
      <c r="Z13" s="44"/>
      <c r="AA13" s="44"/>
      <c r="AB13" s="44"/>
      <c r="AC13" s="44"/>
      <c r="AD13" s="44"/>
      <c r="AE13" s="44"/>
      <c r="AF13" s="44"/>
      <c r="AG13" s="45"/>
      <c r="AH13" s="136" t="str">
        <f t="shared" si="5"/>
        <v/>
      </c>
      <c r="AI13" s="156"/>
      <c r="AJ13" s="157"/>
      <c r="AK13" s="157"/>
      <c r="AL13" s="157"/>
      <c r="AM13" s="157"/>
    </row>
    <row r="14" ht="15.75" customHeight="1">
      <c r="A14" s="132">
        <v>2.0</v>
      </c>
      <c r="B14" s="132" t="str">
        <f>IF(LEN(C14)&gt;0,VLOOKUP($F$6,DATA!$A:$S,2,FALSE),"")</f>
        <v/>
      </c>
      <c r="C14" s="134" t="str">
        <f t="shared" si="4"/>
        <v/>
      </c>
      <c r="D14" s="158" t="str">
        <f>IF(+ASISTENCIA!D15="","",ASISTENCIA!D15)</f>
        <v/>
      </c>
      <c r="E14" s="136" t="str">
        <f>IF(+ASISTENCIA!E15="","",ASISTENCIA!E15)</f>
        <v/>
      </c>
      <c r="F14" s="159" t="str">
        <f>IF(+ASISTENCIA!F15="","",ASISTENCIA!F15)</f>
        <v/>
      </c>
      <c r="G14" s="159" t="str">
        <f>IF(+ASISTENCIA!G15="","",ASISTENCIA!G15)</f>
        <v/>
      </c>
      <c r="H14" s="144" t="str">
        <f>IF(+ASISTENCIA!H15="","",ASISTENCIA!H15)</f>
        <v/>
      </c>
      <c r="I14" s="143"/>
      <c r="J14" s="164" t="str">
        <f>ASISTENCIA!AQ15</f>
        <v/>
      </c>
      <c r="K14" s="143"/>
      <c r="L14" s="144" t="str">
        <f>ASISTENCIA!AR15</f>
        <v/>
      </c>
      <c r="M14" s="144" t="str">
        <f>ASISTENCIA!AS15</f>
        <v/>
      </c>
      <c r="N14" s="144">
        <f>ASISTENCIA!AU15</f>
        <v>0</v>
      </c>
      <c r="O14" s="143"/>
      <c r="P14" s="144">
        <f>ASISTENCIA!AT15</f>
        <v>0</v>
      </c>
      <c r="Q14" s="166"/>
      <c r="R14" s="144">
        <f>ASISTENCIA!AW15</f>
        <v>0</v>
      </c>
      <c r="S14" s="166"/>
      <c r="T14" s="144"/>
      <c r="U14" s="144"/>
      <c r="V14" s="166"/>
      <c r="W14" s="144"/>
      <c r="X14" s="166"/>
      <c r="Y14" s="173"/>
      <c r="Z14" s="44"/>
      <c r="AA14" s="44"/>
      <c r="AB14" s="44"/>
      <c r="AC14" s="44"/>
      <c r="AD14" s="44"/>
      <c r="AE14" s="44"/>
      <c r="AF14" s="44"/>
      <c r="AG14" s="45"/>
      <c r="AH14" s="136" t="str">
        <f t="shared" si="5"/>
        <v/>
      </c>
      <c r="AI14" s="156"/>
      <c r="AJ14" s="157"/>
      <c r="AK14" s="157"/>
      <c r="AL14" s="157"/>
      <c r="AM14" s="157"/>
    </row>
    <row r="15" ht="15.75" customHeight="1">
      <c r="A15" s="132">
        <v>3.0</v>
      </c>
      <c r="B15" s="132" t="str">
        <f>IF(LEN(C15)&gt;0,VLOOKUP($F$6,DATA!$A:$S,2,FALSE),"")</f>
        <v/>
      </c>
      <c r="C15" s="134" t="str">
        <f t="shared" si="4"/>
        <v/>
      </c>
      <c r="D15" s="158" t="str">
        <f>IF(+ASISTENCIA!D16="","",ASISTENCIA!D16)</f>
        <v/>
      </c>
      <c r="E15" s="136" t="str">
        <f>IF(+ASISTENCIA!E16="","",ASISTENCIA!E16)</f>
        <v/>
      </c>
      <c r="F15" s="159" t="str">
        <f>IF(+ASISTENCIA!F16="","",ASISTENCIA!F16)</f>
        <v/>
      </c>
      <c r="G15" s="159" t="str">
        <f>IF(+ASISTENCIA!G16="","",ASISTENCIA!G16)</f>
        <v/>
      </c>
      <c r="H15" s="144" t="str">
        <f>IF(+ASISTENCIA!H16="","",ASISTENCIA!H16)</f>
        <v/>
      </c>
      <c r="I15" s="143"/>
      <c r="J15" s="164" t="str">
        <f>ASISTENCIA!AQ16</f>
        <v/>
      </c>
      <c r="K15" s="143"/>
      <c r="L15" s="144" t="str">
        <f>ASISTENCIA!AR16</f>
        <v/>
      </c>
      <c r="M15" s="144" t="str">
        <f>ASISTENCIA!AS16</f>
        <v/>
      </c>
      <c r="N15" s="144">
        <f>ASISTENCIA!AU16</f>
        <v>0</v>
      </c>
      <c r="O15" s="143"/>
      <c r="P15" s="144">
        <f>ASISTENCIA!AT16</f>
        <v>0</v>
      </c>
      <c r="Q15" s="166"/>
      <c r="R15" s="144">
        <f>ASISTENCIA!AW16</f>
        <v>0</v>
      </c>
      <c r="S15" s="166"/>
      <c r="T15" s="144"/>
      <c r="U15" s="144"/>
      <c r="V15" s="166"/>
      <c r="W15" s="144"/>
      <c r="X15" s="166"/>
      <c r="Y15" s="173"/>
      <c r="Z15" s="44"/>
      <c r="AA15" s="44"/>
      <c r="AB15" s="44"/>
      <c r="AC15" s="44"/>
      <c r="AD15" s="44"/>
      <c r="AE15" s="44"/>
      <c r="AF15" s="44"/>
      <c r="AG15" s="45"/>
      <c r="AH15" s="136" t="str">
        <f t="shared" si="5"/>
        <v/>
      </c>
      <c r="AI15" s="156"/>
      <c r="AJ15" s="157"/>
      <c r="AK15" s="157"/>
      <c r="AL15" s="157"/>
      <c r="AM15" s="157"/>
    </row>
    <row r="16" ht="15.75" customHeight="1">
      <c r="A16" s="132">
        <v>4.0</v>
      </c>
      <c r="B16" s="132" t="str">
        <f>IF(LEN(C16)&gt;0,VLOOKUP($F$6,DATA!$A:$S,2,FALSE),"")</f>
        <v/>
      </c>
      <c r="C16" s="134" t="str">
        <f t="shared" si="4"/>
        <v/>
      </c>
      <c r="D16" s="158" t="str">
        <f>IF(+ASISTENCIA!D17="","",ASISTENCIA!D17)</f>
        <v/>
      </c>
      <c r="E16" s="136" t="str">
        <f>IF(+ASISTENCIA!E17="","",ASISTENCIA!E17)</f>
        <v/>
      </c>
      <c r="F16" s="159" t="str">
        <f>IF(+ASISTENCIA!F17="","",ASISTENCIA!F17)</f>
        <v/>
      </c>
      <c r="G16" s="159" t="str">
        <f>IF(+ASISTENCIA!G17="","",ASISTENCIA!G17)</f>
        <v/>
      </c>
      <c r="H16" s="144" t="str">
        <f>IF(+ASISTENCIA!H17="","",ASISTENCIA!H17)</f>
        <v/>
      </c>
      <c r="I16" s="143"/>
      <c r="J16" s="164">
        <f>ASISTENCIA!AQ17</f>
        <v>0</v>
      </c>
      <c r="K16" s="143"/>
      <c r="L16" s="144">
        <f>ASISTENCIA!AR17</f>
        <v>0</v>
      </c>
      <c r="M16" s="144">
        <f>ASISTENCIA!AS17</f>
        <v>0</v>
      </c>
      <c r="N16" s="144">
        <f>ASISTENCIA!AU17</f>
        <v>0</v>
      </c>
      <c r="O16" s="143"/>
      <c r="P16" s="144">
        <f>ASISTENCIA!AT17</f>
        <v>0</v>
      </c>
      <c r="Q16" s="166"/>
      <c r="R16" s="144">
        <f>ASISTENCIA!AW17</f>
        <v>0</v>
      </c>
      <c r="S16" s="166"/>
      <c r="T16" s="144"/>
      <c r="U16" s="144"/>
      <c r="V16" s="166"/>
      <c r="W16" s="144"/>
      <c r="X16" s="166"/>
      <c r="Y16" s="173"/>
      <c r="Z16" s="44"/>
      <c r="AA16" s="44"/>
      <c r="AB16" s="44"/>
      <c r="AC16" s="44"/>
      <c r="AD16" s="44"/>
      <c r="AE16" s="44"/>
      <c r="AF16" s="44"/>
      <c r="AG16" s="45"/>
      <c r="AH16" s="136" t="str">
        <f t="shared" si="5"/>
        <v/>
      </c>
      <c r="AI16" s="156"/>
      <c r="AJ16" s="157"/>
      <c r="AK16" s="157"/>
      <c r="AL16" s="157"/>
      <c r="AM16" s="157"/>
    </row>
    <row r="17" ht="15.75" customHeight="1">
      <c r="A17" s="132">
        <v>5.0</v>
      </c>
      <c r="B17" s="132" t="str">
        <f>IF(LEN(C17)&gt;0,VLOOKUP($F$6,DATA!$A:$S,2,FALSE),"")</f>
        <v/>
      </c>
      <c r="C17" s="134" t="str">
        <f t="shared" si="4"/>
        <v/>
      </c>
      <c r="D17" s="158" t="str">
        <f>IF(+ASISTENCIA!D18="","",ASISTENCIA!D18)</f>
        <v/>
      </c>
      <c r="E17" s="136" t="str">
        <f>IF(+ASISTENCIA!E18="","",ASISTENCIA!E18)</f>
        <v/>
      </c>
      <c r="F17" s="159" t="str">
        <f>IF(+ASISTENCIA!F18="","",ASISTENCIA!F18)</f>
        <v/>
      </c>
      <c r="G17" s="159" t="str">
        <f>IF(+ASISTENCIA!G18="","",ASISTENCIA!G18)</f>
        <v/>
      </c>
      <c r="H17" s="144" t="str">
        <f>IF(+ASISTENCIA!H18="","",ASISTENCIA!H18)</f>
        <v/>
      </c>
      <c r="I17" s="143"/>
      <c r="J17" s="164">
        <f>ASISTENCIA!AQ18</f>
        <v>0</v>
      </c>
      <c r="K17" s="143"/>
      <c r="L17" s="144">
        <f>ASISTENCIA!AR18</f>
        <v>0</v>
      </c>
      <c r="M17" s="144">
        <f>ASISTENCIA!AS18</f>
        <v>0</v>
      </c>
      <c r="N17" s="144">
        <f>ASISTENCIA!AU18</f>
        <v>0</v>
      </c>
      <c r="O17" s="143"/>
      <c r="P17" s="144">
        <f>ASISTENCIA!AT18</f>
        <v>0</v>
      </c>
      <c r="Q17" s="166"/>
      <c r="R17" s="144">
        <f>ASISTENCIA!AW18</f>
        <v>0</v>
      </c>
      <c r="S17" s="166"/>
      <c r="T17" s="144"/>
      <c r="U17" s="144"/>
      <c r="V17" s="166"/>
      <c r="W17" s="144"/>
      <c r="X17" s="166"/>
      <c r="Y17" s="173"/>
      <c r="Z17" s="44"/>
      <c r="AA17" s="44"/>
      <c r="AB17" s="44"/>
      <c r="AC17" s="44"/>
      <c r="AD17" s="44"/>
      <c r="AE17" s="44"/>
      <c r="AF17" s="44"/>
      <c r="AG17" s="45"/>
      <c r="AH17" s="136" t="str">
        <f t="shared" si="5"/>
        <v/>
      </c>
      <c r="AI17" s="156"/>
      <c r="AJ17" s="157"/>
      <c r="AK17" s="157"/>
      <c r="AL17" s="157"/>
      <c r="AM17" s="157"/>
    </row>
    <row r="18" ht="15.75" customHeight="1">
      <c r="A18" s="132">
        <v>6.0</v>
      </c>
      <c r="B18" s="132" t="str">
        <f>IF(LEN(C18)&gt;0,VLOOKUP($F$6,DATA!$A:$S,2,FALSE),"")</f>
        <v/>
      </c>
      <c r="C18" s="134" t="str">
        <f t="shared" si="4"/>
        <v/>
      </c>
      <c r="D18" s="158" t="str">
        <f>IF(+ASISTENCIA!D19="","",ASISTENCIA!D19)</f>
        <v/>
      </c>
      <c r="E18" s="136" t="str">
        <f>IF(+ASISTENCIA!E19="","",ASISTENCIA!E19)</f>
        <v/>
      </c>
      <c r="F18" s="159" t="str">
        <f>IF(+ASISTENCIA!F19="","",ASISTENCIA!F19)</f>
        <v/>
      </c>
      <c r="G18" s="159" t="str">
        <f>IF(+ASISTENCIA!G19="","",ASISTENCIA!G19)</f>
        <v/>
      </c>
      <c r="H18" s="144" t="str">
        <f>IF(+ASISTENCIA!H19="","",ASISTENCIA!H19)</f>
        <v/>
      </c>
      <c r="I18" s="143"/>
      <c r="J18" s="164">
        <f>ASISTENCIA!AQ19</f>
        <v>0</v>
      </c>
      <c r="K18" s="143"/>
      <c r="L18" s="144">
        <f>ASISTENCIA!AR19</f>
        <v>0</v>
      </c>
      <c r="M18" s="144">
        <f>ASISTENCIA!AS19</f>
        <v>0</v>
      </c>
      <c r="N18" s="144">
        <f>ASISTENCIA!AU19</f>
        <v>0</v>
      </c>
      <c r="O18" s="143"/>
      <c r="P18" s="144">
        <f>ASISTENCIA!AT19</f>
        <v>0</v>
      </c>
      <c r="Q18" s="166"/>
      <c r="R18" s="144">
        <f>ASISTENCIA!AW19</f>
        <v>0</v>
      </c>
      <c r="S18" s="166"/>
      <c r="T18" s="144"/>
      <c r="U18" s="144"/>
      <c r="V18" s="166"/>
      <c r="W18" s="144"/>
      <c r="X18" s="166"/>
      <c r="Y18" s="173"/>
      <c r="Z18" s="44"/>
      <c r="AA18" s="44"/>
      <c r="AB18" s="44"/>
      <c r="AC18" s="44"/>
      <c r="AD18" s="44"/>
      <c r="AE18" s="44"/>
      <c r="AF18" s="44"/>
      <c r="AG18" s="45"/>
      <c r="AH18" s="136" t="str">
        <f t="shared" si="5"/>
        <v/>
      </c>
      <c r="AI18" s="156"/>
      <c r="AJ18" s="157"/>
      <c r="AK18" s="157"/>
      <c r="AL18" s="157"/>
      <c r="AM18" s="157"/>
    </row>
    <row r="19" ht="15.75" customHeight="1">
      <c r="A19" s="132">
        <v>7.0</v>
      </c>
      <c r="B19" s="132" t="str">
        <f>IF(LEN(C19)&gt;0,VLOOKUP($F$6,DATA!$A:$S,2,FALSE),"")</f>
        <v/>
      </c>
      <c r="C19" s="134" t="str">
        <f t="shared" si="4"/>
        <v/>
      </c>
      <c r="D19" s="158" t="str">
        <f>IF(+ASISTENCIA!D20="","",ASISTENCIA!D20)</f>
        <v/>
      </c>
      <c r="E19" s="136" t="str">
        <f>IF(+ASISTENCIA!E20="","",ASISTENCIA!E20)</f>
        <v/>
      </c>
      <c r="F19" s="159" t="str">
        <f>IF(+ASISTENCIA!F20="","",ASISTENCIA!F20)</f>
        <v/>
      </c>
      <c r="G19" s="159" t="str">
        <f>IF(+ASISTENCIA!G20="","",ASISTENCIA!G20)</f>
        <v/>
      </c>
      <c r="H19" s="144" t="str">
        <f>IF(+ASISTENCIA!H20="","",ASISTENCIA!H20)</f>
        <v/>
      </c>
      <c r="I19" s="143"/>
      <c r="J19" s="164">
        <f>ASISTENCIA!AQ20</f>
        <v>0</v>
      </c>
      <c r="K19" s="143"/>
      <c r="L19" s="144">
        <f>ASISTENCIA!AR20</f>
        <v>0</v>
      </c>
      <c r="M19" s="144">
        <f>ASISTENCIA!AS20</f>
        <v>0</v>
      </c>
      <c r="N19" s="144">
        <f>ASISTENCIA!AU20</f>
        <v>0</v>
      </c>
      <c r="O19" s="143"/>
      <c r="P19" s="144">
        <f>ASISTENCIA!AT20</f>
        <v>0</v>
      </c>
      <c r="Q19" s="166"/>
      <c r="R19" s="144">
        <f>ASISTENCIA!AW20</f>
        <v>0</v>
      </c>
      <c r="S19" s="166"/>
      <c r="T19" s="144"/>
      <c r="U19" s="144"/>
      <c r="V19" s="166"/>
      <c r="W19" s="144"/>
      <c r="X19" s="166"/>
      <c r="Y19" s="173"/>
      <c r="Z19" s="44"/>
      <c r="AA19" s="44"/>
      <c r="AB19" s="44"/>
      <c r="AC19" s="44"/>
      <c r="AD19" s="44"/>
      <c r="AE19" s="44"/>
      <c r="AF19" s="44"/>
      <c r="AG19" s="45"/>
      <c r="AH19" s="136" t="str">
        <f t="shared" si="5"/>
        <v/>
      </c>
      <c r="AI19" s="156"/>
      <c r="AJ19" s="157"/>
      <c r="AK19" s="157"/>
      <c r="AL19" s="157"/>
      <c r="AM19" s="157"/>
    </row>
    <row r="20" ht="15.75" customHeight="1">
      <c r="A20" s="132">
        <v>8.0</v>
      </c>
      <c r="B20" s="132" t="str">
        <f>IF(LEN(C20)&gt;0,VLOOKUP($F$6,DATA!$A:$S,2,FALSE),"")</f>
        <v/>
      </c>
      <c r="C20" s="134" t="str">
        <f t="shared" si="4"/>
        <v/>
      </c>
      <c r="D20" s="158" t="str">
        <f>IF(+ASISTENCIA!D21="","",ASISTENCIA!D21)</f>
        <v/>
      </c>
      <c r="E20" s="136" t="str">
        <f>IF(+ASISTENCIA!E21="","",ASISTENCIA!E21)</f>
        <v/>
      </c>
      <c r="F20" s="159" t="str">
        <f>IF(+ASISTENCIA!F21="","",ASISTENCIA!F21)</f>
        <v/>
      </c>
      <c r="G20" s="159" t="str">
        <f>IF(+ASISTENCIA!G21="","",ASISTENCIA!G21)</f>
        <v/>
      </c>
      <c r="H20" s="144" t="str">
        <f>IF(+ASISTENCIA!H21="","",ASISTENCIA!H21)</f>
        <v/>
      </c>
      <c r="I20" s="143"/>
      <c r="J20" s="164">
        <f>ASISTENCIA!AQ21</f>
        <v>0</v>
      </c>
      <c r="K20" s="143"/>
      <c r="L20" s="144">
        <f>ASISTENCIA!AR21</f>
        <v>0</v>
      </c>
      <c r="M20" s="144">
        <f>ASISTENCIA!AS21</f>
        <v>0</v>
      </c>
      <c r="N20" s="144">
        <f>ASISTENCIA!AU21</f>
        <v>0</v>
      </c>
      <c r="O20" s="143"/>
      <c r="P20" s="144">
        <f>ASISTENCIA!AT21</f>
        <v>0</v>
      </c>
      <c r="Q20" s="166"/>
      <c r="R20" s="144">
        <f>ASISTENCIA!AW21</f>
        <v>0</v>
      </c>
      <c r="S20" s="166"/>
      <c r="T20" s="144"/>
      <c r="U20" s="144"/>
      <c r="V20" s="166"/>
      <c r="W20" s="144"/>
      <c r="X20" s="166"/>
      <c r="Y20" s="173"/>
      <c r="Z20" s="44"/>
      <c r="AA20" s="44"/>
      <c r="AB20" s="44"/>
      <c r="AC20" s="44"/>
      <c r="AD20" s="44"/>
      <c r="AE20" s="44"/>
      <c r="AF20" s="44"/>
      <c r="AG20" s="45"/>
      <c r="AH20" s="136" t="str">
        <f t="shared" si="5"/>
        <v/>
      </c>
      <c r="AI20" s="156"/>
      <c r="AJ20" s="157"/>
      <c r="AK20" s="157"/>
      <c r="AL20" s="157"/>
      <c r="AM20" s="157"/>
    </row>
    <row r="21" ht="15.75" customHeight="1">
      <c r="A21" s="132">
        <v>9.0</v>
      </c>
      <c r="B21" s="132" t="str">
        <f>IF(LEN(C21)&gt;0,VLOOKUP($F$6,DATA!$A:$S,2,FALSE),"")</f>
        <v/>
      </c>
      <c r="C21" s="134" t="str">
        <f t="shared" si="4"/>
        <v/>
      </c>
      <c r="D21" s="158" t="str">
        <f>IF(+ASISTENCIA!D22="","",ASISTENCIA!D22)</f>
        <v/>
      </c>
      <c r="E21" s="136" t="str">
        <f>IF(+ASISTENCIA!E22="","",ASISTENCIA!E22)</f>
        <v/>
      </c>
      <c r="F21" s="159" t="str">
        <f>IF(+ASISTENCIA!F22="","",ASISTENCIA!F22)</f>
        <v/>
      </c>
      <c r="G21" s="159" t="str">
        <f>IF(+ASISTENCIA!G22="","",ASISTENCIA!G22)</f>
        <v/>
      </c>
      <c r="H21" s="144" t="str">
        <f>IF(+ASISTENCIA!H22="","",ASISTENCIA!H22)</f>
        <v/>
      </c>
      <c r="I21" s="143"/>
      <c r="J21" s="164">
        <f>ASISTENCIA!AQ22</f>
        <v>0</v>
      </c>
      <c r="K21" s="143"/>
      <c r="L21" s="144">
        <f>ASISTENCIA!AR22</f>
        <v>0</v>
      </c>
      <c r="M21" s="144">
        <f>ASISTENCIA!AS22</f>
        <v>0</v>
      </c>
      <c r="N21" s="144">
        <f>ASISTENCIA!AU22</f>
        <v>0</v>
      </c>
      <c r="O21" s="143"/>
      <c r="P21" s="144">
        <f>ASISTENCIA!AT22</f>
        <v>0</v>
      </c>
      <c r="Q21" s="166"/>
      <c r="R21" s="144">
        <f>ASISTENCIA!AW22</f>
        <v>0</v>
      </c>
      <c r="S21" s="166"/>
      <c r="T21" s="144"/>
      <c r="U21" s="144"/>
      <c r="V21" s="166"/>
      <c r="W21" s="144"/>
      <c r="X21" s="166"/>
      <c r="Y21" s="173"/>
      <c r="Z21" s="44"/>
      <c r="AA21" s="44"/>
      <c r="AB21" s="44"/>
      <c r="AC21" s="44"/>
      <c r="AD21" s="44"/>
      <c r="AE21" s="44"/>
      <c r="AF21" s="44"/>
      <c r="AG21" s="45"/>
      <c r="AH21" s="136" t="str">
        <f t="shared" si="5"/>
        <v/>
      </c>
      <c r="AI21" s="156"/>
      <c r="AJ21" s="157"/>
      <c r="AK21" s="157"/>
      <c r="AL21" s="157"/>
      <c r="AM21" s="157"/>
    </row>
    <row r="22" ht="15.75" customHeight="1">
      <c r="A22" s="132">
        <v>10.0</v>
      </c>
      <c r="B22" s="132" t="str">
        <f>IF(LEN(C22)&gt;0,VLOOKUP($F$6,DATA!$A:$S,2,FALSE),"")</f>
        <v/>
      </c>
      <c r="C22" s="134" t="str">
        <f t="shared" si="4"/>
        <v/>
      </c>
      <c r="D22" s="158" t="str">
        <f>IF(+ASISTENCIA!D23="","",ASISTENCIA!D23)</f>
        <v/>
      </c>
      <c r="E22" s="136" t="str">
        <f>IF(+ASISTENCIA!E23="","",ASISTENCIA!E23)</f>
        <v/>
      </c>
      <c r="F22" s="159" t="str">
        <f>IF(+ASISTENCIA!F23="","",ASISTENCIA!F23)</f>
        <v/>
      </c>
      <c r="G22" s="159" t="str">
        <f>IF(+ASISTENCIA!G23="","",ASISTENCIA!G23)</f>
        <v/>
      </c>
      <c r="H22" s="144" t="str">
        <f>IF(+ASISTENCIA!H23="","",ASISTENCIA!H23)</f>
        <v/>
      </c>
      <c r="I22" s="143"/>
      <c r="J22" s="164">
        <f>ASISTENCIA!AQ23</f>
        <v>0</v>
      </c>
      <c r="K22" s="143"/>
      <c r="L22" s="144">
        <f>ASISTENCIA!AR23</f>
        <v>0</v>
      </c>
      <c r="M22" s="144">
        <f>ASISTENCIA!AS23</f>
        <v>0</v>
      </c>
      <c r="N22" s="144">
        <f>ASISTENCIA!AU23</f>
        <v>0</v>
      </c>
      <c r="O22" s="143"/>
      <c r="P22" s="144">
        <f>ASISTENCIA!AT23</f>
        <v>0</v>
      </c>
      <c r="Q22" s="166"/>
      <c r="R22" s="144">
        <f>ASISTENCIA!AW23</f>
        <v>0</v>
      </c>
      <c r="S22" s="166"/>
      <c r="T22" s="144"/>
      <c r="U22" s="144"/>
      <c r="V22" s="166"/>
      <c r="W22" s="144"/>
      <c r="X22" s="166"/>
      <c r="Y22" s="173"/>
      <c r="Z22" s="44"/>
      <c r="AA22" s="44"/>
      <c r="AB22" s="44"/>
      <c r="AC22" s="44"/>
      <c r="AD22" s="44"/>
      <c r="AE22" s="44"/>
      <c r="AF22" s="44"/>
      <c r="AG22" s="45"/>
      <c r="AH22" s="136" t="str">
        <f t="shared" si="5"/>
        <v/>
      </c>
      <c r="AI22" s="156"/>
      <c r="AJ22" s="157"/>
      <c r="AK22" s="157"/>
      <c r="AL22" s="157"/>
      <c r="AM22" s="157"/>
    </row>
    <row r="23" ht="15.75" customHeight="1">
      <c r="A23" s="132">
        <v>11.0</v>
      </c>
      <c r="B23" s="132" t="str">
        <f>IF(LEN(C23)&gt;0,VLOOKUP($F$6,DATA!$A:$S,2,FALSE),"")</f>
        <v/>
      </c>
      <c r="C23" s="134" t="str">
        <f t="shared" si="4"/>
        <v/>
      </c>
      <c r="D23" s="158" t="str">
        <f>IF(+ASISTENCIA!D24="","",ASISTENCIA!D24)</f>
        <v/>
      </c>
      <c r="E23" s="136" t="str">
        <f>IF(+ASISTENCIA!E24="","",ASISTENCIA!E24)</f>
        <v/>
      </c>
      <c r="F23" s="159" t="str">
        <f>IF(+ASISTENCIA!F24="","",ASISTENCIA!F24)</f>
        <v/>
      </c>
      <c r="G23" s="159" t="str">
        <f>IF(+ASISTENCIA!G24="","",ASISTENCIA!G24)</f>
        <v/>
      </c>
      <c r="H23" s="144" t="str">
        <f>IF(+ASISTENCIA!H24="","",ASISTENCIA!H24)</f>
        <v/>
      </c>
      <c r="I23" s="143"/>
      <c r="J23" s="164">
        <f>ASISTENCIA!AQ24</f>
        <v>0</v>
      </c>
      <c r="K23" s="143"/>
      <c r="L23" s="144">
        <f>ASISTENCIA!AR24</f>
        <v>0</v>
      </c>
      <c r="M23" s="144">
        <f>ASISTENCIA!AS24</f>
        <v>0</v>
      </c>
      <c r="N23" s="144">
        <f>ASISTENCIA!AU24</f>
        <v>0</v>
      </c>
      <c r="O23" s="143"/>
      <c r="P23" s="144">
        <f>ASISTENCIA!AT24</f>
        <v>0</v>
      </c>
      <c r="Q23" s="166"/>
      <c r="R23" s="144">
        <f>ASISTENCIA!AW24</f>
        <v>0</v>
      </c>
      <c r="S23" s="166"/>
      <c r="T23" s="144"/>
      <c r="U23" s="144"/>
      <c r="V23" s="166"/>
      <c r="W23" s="144"/>
      <c r="X23" s="166"/>
      <c r="Y23" s="173"/>
      <c r="Z23" s="44"/>
      <c r="AA23" s="44"/>
      <c r="AB23" s="44"/>
      <c r="AC23" s="44"/>
      <c r="AD23" s="44"/>
      <c r="AE23" s="44"/>
      <c r="AF23" s="44"/>
      <c r="AG23" s="45"/>
      <c r="AH23" s="136" t="str">
        <f t="shared" si="5"/>
        <v/>
      </c>
      <c r="AI23" s="156"/>
      <c r="AJ23" s="157"/>
      <c r="AK23" s="157"/>
      <c r="AL23" s="157"/>
      <c r="AM23" s="157"/>
    </row>
    <row r="24" ht="15.75" customHeight="1">
      <c r="A24" s="132">
        <v>12.0</v>
      </c>
      <c r="B24" s="132" t="str">
        <f>IF(LEN(C24)&gt;0,VLOOKUP($F$6,DATA!$A:$S,2,FALSE),"")</f>
        <v/>
      </c>
      <c r="C24" s="134" t="str">
        <f t="shared" si="4"/>
        <v/>
      </c>
      <c r="D24" s="158" t="str">
        <f>IF(+ASISTENCIA!D25="","",ASISTENCIA!D25)</f>
        <v/>
      </c>
      <c r="E24" s="136" t="str">
        <f>IF(+ASISTENCIA!E25="","",ASISTENCIA!E25)</f>
        <v/>
      </c>
      <c r="F24" s="159" t="str">
        <f>IF(+ASISTENCIA!F25="","",ASISTENCIA!F25)</f>
        <v/>
      </c>
      <c r="G24" s="159" t="str">
        <f>IF(+ASISTENCIA!G25="","",ASISTENCIA!G25)</f>
        <v/>
      </c>
      <c r="H24" s="144" t="str">
        <f>IF(+ASISTENCIA!H25="","",ASISTENCIA!H25)</f>
        <v/>
      </c>
      <c r="I24" s="143"/>
      <c r="J24" s="164">
        <f>ASISTENCIA!AQ25</f>
        <v>0</v>
      </c>
      <c r="K24" s="143"/>
      <c r="L24" s="144">
        <f>ASISTENCIA!AR25</f>
        <v>0</v>
      </c>
      <c r="M24" s="144">
        <f>ASISTENCIA!AS25</f>
        <v>0</v>
      </c>
      <c r="N24" s="144">
        <f>ASISTENCIA!AU25</f>
        <v>0</v>
      </c>
      <c r="O24" s="143"/>
      <c r="P24" s="144">
        <f>ASISTENCIA!AT25</f>
        <v>0</v>
      </c>
      <c r="Q24" s="166"/>
      <c r="R24" s="144">
        <f>ASISTENCIA!AW25</f>
        <v>0</v>
      </c>
      <c r="S24" s="166"/>
      <c r="T24" s="144"/>
      <c r="U24" s="144"/>
      <c r="V24" s="166"/>
      <c r="W24" s="144"/>
      <c r="X24" s="166"/>
      <c r="Y24" s="173"/>
      <c r="Z24" s="44"/>
      <c r="AA24" s="44"/>
      <c r="AB24" s="44"/>
      <c r="AC24" s="44"/>
      <c r="AD24" s="44"/>
      <c r="AE24" s="44"/>
      <c r="AF24" s="44"/>
      <c r="AG24" s="45"/>
      <c r="AH24" s="136" t="str">
        <f t="shared" si="5"/>
        <v/>
      </c>
      <c r="AI24" s="156"/>
      <c r="AJ24" s="157"/>
      <c r="AK24" s="157"/>
      <c r="AL24" s="157"/>
      <c r="AM24" s="157"/>
    </row>
    <row r="25" ht="15.75" customHeight="1">
      <c r="A25" s="132">
        <v>13.0</v>
      </c>
      <c r="B25" s="132" t="str">
        <f>IF(LEN(C25)&gt;0,VLOOKUP($F$6,DATA!$A:$S,2,FALSE),"")</f>
        <v/>
      </c>
      <c r="C25" s="134" t="str">
        <f t="shared" si="4"/>
        <v/>
      </c>
      <c r="D25" s="158" t="str">
        <f>IF(+ASISTENCIA!D26="","",ASISTENCIA!D26)</f>
        <v/>
      </c>
      <c r="E25" s="136" t="str">
        <f>IF(+ASISTENCIA!E26="","",ASISTENCIA!E26)</f>
        <v/>
      </c>
      <c r="F25" s="159" t="str">
        <f>IF(+ASISTENCIA!F26="","",ASISTENCIA!F26)</f>
        <v/>
      </c>
      <c r="G25" s="159" t="str">
        <f>IF(+ASISTENCIA!G26="","",ASISTENCIA!G26)</f>
        <v/>
      </c>
      <c r="H25" s="144" t="str">
        <f>IF(+ASISTENCIA!H26="","",ASISTENCIA!H26)</f>
        <v/>
      </c>
      <c r="I25" s="143"/>
      <c r="J25" s="164">
        <f>ASISTENCIA!AQ26</f>
        <v>0</v>
      </c>
      <c r="K25" s="143"/>
      <c r="L25" s="144">
        <f>ASISTENCIA!AR26</f>
        <v>0</v>
      </c>
      <c r="M25" s="144">
        <f>ASISTENCIA!AS26</f>
        <v>0</v>
      </c>
      <c r="N25" s="144">
        <f>ASISTENCIA!AU26</f>
        <v>0</v>
      </c>
      <c r="O25" s="143"/>
      <c r="P25" s="144">
        <f>ASISTENCIA!AT26</f>
        <v>0</v>
      </c>
      <c r="Q25" s="166"/>
      <c r="R25" s="144">
        <f>ASISTENCIA!AW26</f>
        <v>0</v>
      </c>
      <c r="S25" s="166"/>
      <c r="T25" s="144"/>
      <c r="U25" s="144"/>
      <c r="V25" s="166"/>
      <c r="W25" s="144"/>
      <c r="X25" s="166"/>
      <c r="Y25" s="173"/>
      <c r="Z25" s="44"/>
      <c r="AA25" s="44"/>
      <c r="AB25" s="44"/>
      <c r="AC25" s="44"/>
      <c r="AD25" s="44"/>
      <c r="AE25" s="44"/>
      <c r="AF25" s="44"/>
      <c r="AG25" s="45"/>
      <c r="AH25" s="136" t="str">
        <f t="shared" si="5"/>
        <v/>
      </c>
      <c r="AI25" s="156"/>
      <c r="AJ25" s="157"/>
      <c r="AK25" s="157"/>
      <c r="AL25" s="157"/>
      <c r="AM25" s="157"/>
    </row>
    <row r="26" ht="15.75" customHeight="1">
      <c r="A26" s="132">
        <v>14.0</v>
      </c>
      <c r="B26" s="132" t="str">
        <f>IF(LEN(C26)&gt;0,VLOOKUP($F$6,DATA!$A:$S,2,FALSE),"")</f>
        <v/>
      </c>
      <c r="C26" s="134" t="str">
        <f t="shared" si="4"/>
        <v/>
      </c>
      <c r="D26" s="158" t="str">
        <f>IF(+ASISTENCIA!D27="","",ASISTENCIA!D27)</f>
        <v/>
      </c>
      <c r="E26" s="136" t="str">
        <f>IF(+ASISTENCIA!E27="","",ASISTENCIA!E27)</f>
        <v/>
      </c>
      <c r="F26" s="159" t="str">
        <f>IF(+ASISTENCIA!F27="","",ASISTENCIA!F27)</f>
        <v/>
      </c>
      <c r="G26" s="159" t="str">
        <f>IF(+ASISTENCIA!G27="","",ASISTENCIA!G27)</f>
        <v/>
      </c>
      <c r="H26" s="144" t="str">
        <f>IF(+ASISTENCIA!H27="","",ASISTENCIA!H27)</f>
        <v/>
      </c>
      <c r="I26" s="143"/>
      <c r="J26" s="164">
        <f>ASISTENCIA!AQ27</f>
        <v>0</v>
      </c>
      <c r="K26" s="143"/>
      <c r="L26" s="144">
        <f>ASISTENCIA!AR27</f>
        <v>0</v>
      </c>
      <c r="M26" s="144">
        <f>ASISTENCIA!AS27</f>
        <v>0</v>
      </c>
      <c r="N26" s="144">
        <f>ASISTENCIA!AU27</f>
        <v>0</v>
      </c>
      <c r="O26" s="143"/>
      <c r="P26" s="144">
        <f>ASISTENCIA!AT27</f>
        <v>0</v>
      </c>
      <c r="Q26" s="166"/>
      <c r="R26" s="144">
        <f>ASISTENCIA!AW27</f>
        <v>0</v>
      </c>
      <c r="S26" s="166"/>
      <c r="T26" s="144"/>
      <c r="U26" s="144"/>
      <c r="V26" s="166"/>
      <c r="W26" s="144"/>
      <c r="X26" s="166"/>
      <c r="Y26" s="173"/>
      <c r="Z26" s="44"/>
      <c r="AA26" s="44"/>
      <c r="AB26" s="44"/>
      <c r="AC26" s="44"/>
      <c r="AD26" s="44"/>
      <c r="AE26" s="44"/>
      <c r="AF26" s="44"/>
      <c r="AG26" s="45"/>
      <c r="AH26" s="136" t="str">
        <f t="shared" si="5"/>
        <v/>
      </c>
      <c r="AI26" s="156"/>
      <c r="AJ26" s="157"/>
      <c r="AK26" s="157"/>
      <c r="AL26" s="157"/>
      <c r="AM26" s="157"/>
    </row>
    <row r="27" ht="15.75" customHeight="1">
      <c r="A27" s="132">
        <v>15.0</v>
      </c>
      <c r="B27" s="132" t="str">
        <f>IF(LEN(C27)&gt;0,VLOOKUP($F$6,DATA!$A:$S,2,FALSE),"")</f>
        <v/>
      </c>
      <c r="C27" s="134" t="str">
        <f t="shared" si="4"/>
        <v/>
      </c>
      <c r="D27" s="158" t="str">
        <f>IF(+ASISTENCIA!D28="","",ASISTENCIA!D28)</f>
        <v/>
      </c>
      <c r="E27" s="136" t="str">
        <f>IF(+ASISTENCIA!E28="","",ASISTENCIA!E28)</f>
        <v/>
      </c>
      <c r="F27" s="159" t="str">
        <f>IF(+ASISTENCIA!F28="","",ASISTENCIA!F28)</f>
        <v/>
      </c>
      <c r="G27" s="159" t="str">
        <f>IF(+ASISTENCIA!G28="","",ASISTENCIA!G28)</f>
        <v/>
      </c>
      <c r="H27" s="144" t="str">
        <f>IF(+ASISTENCIA!H28="","",ASISTENCIA!H28)</f>
        <v/>
      </c>
      <c r="I27" s="143"/>
      <c r="J27" s="164">
        <f>ASISTENCIA!AQ28</f>
        <v>0</v>
      </c>
      <c r="K27" s="143"/>
      <c r="L27" s="144">
        <f>ASISTENCIA!AR28</f>
        <v>0</v>
      </c>
      <c r="M27" s="144">
        <f>ASISTENCIA!AS28</f>
        <v>0</v>
      </c>
      <c r="N27" s="144">
        <f>ASISTENCIA!AU28</f>
        <v>0</v>
      </c>
      <c r="O27" s="143"/>
      <c r="P27" s="144">
        <f>ASISTENCIA!AT28</f>
        <v>0</v>
      </c>
      <c r="Q27" s="166"/>
      <c r="R27" s="144">
        <f>ASISTENCIA!AW28</f>
        <v>0</v>
      </c>
      <c r="S27" s="166"/>
      <c r="T27" s="144"/>
      <c r="U27" s="144"/>
      <c r="V27" s="166"/>
      <c r="W27" s="144"/>
      <c r="X27" s="166"/>
      <c r="Y27" s="173"/>
      <c r="Z27" s="44"/>
      <c r="AA27" s="44"/>
      <c r="AB27" s="44"/>
      <c r="AC27" s="44"/>
      <c r="AD27" s="44"/>
      <c r="AE27" s="44"/>
      <c r="AF27" s="44"/>
      <c r="AG27" s="45"/>
      <c r="AH27" s="136" t="str">
        <f t="shared" si="5"/>
        <v/>
      </c>
      <c r="AI27" s="156"/>
      <c r="AJ27" s="157"/>
      <c r="AK27" s="157"/>
      <c r="AL27" s="157"/>
      <c r="AM27" s="157"/>
    </row>
    <row r="28" ht="15.75" customHeight="1">
      <c r="A28" s="132">
        <v>16.0</v>
      </c>
      <c r="B28" s="132" t="str">
        <f>IF(LEN(C28)&gt;0,VLOOKUP($F$6,DATA!$A:$S,2,FALSE),"")</f>
        <v/>
      </c>
      <c r="C28" s="134" t="str">
        <f t="shared" si="4"/>
        <v/>
      </c>
      <c r="D28" s="158" t="str">
        <f>IF(+ASISTENCIA!D29="","",ASISTENCIA!D29)</f>
        <v/>
      </c>
      <c r="E28" s="136" t="str">
        <f>IF(+ASISTENCIA!E29="","",ASISTENCIA!E29)</f>
        <v/>
      </c>
      <c r="F28" s="159" t="str">
        <f>IF(+ASISTENCIA!F29="","",ASISTENCIA!F29)</f>
        <v/>
      </c>
      <c r="G28" s="159" t="str">
        <f>IF(+ASISTENCIA!G29="","",ASISTENCIA!G29)</f>
        <v/>
      </c>
      <c r="H28" s="144" t="str">
        <f>IF(+ASISTENCIA!H29="","",ASISTENCIA!H29)</f>
        <v/>
      </c>
      <c r="I28" s="143"/>
      <c r="J28" s="164">
        <f>ASISTENCIA!AQ29</f>
        <v>0</v>
      </c>
      <c r="K28" s="143"/>
      <c r="L28" s="144">
        <f>ASISTENCIA!AR29</f>
        <v>0</v>
      </c>
      <c r="M28" s="144">
        <f>ASISTENCIA!AS29</f>
        <v>0</v>
      </c>
      <c r="N28" s="144">
        <f>ASISTENCIA!AU29</f>
        <v>0</v>
      </c>
      <c r="O28" s="143"/>
      <c r="P28" s="144">
        <f>ASISTENCIA!AT29</f>
        <v>0</v>
      </c>
      <c r="Q28" s="166"/>
      <c r="R28" s="144">
        <f>ASISTENCIA!AW29</f>
        <v>0</v>
      </c>
      <c r="S28" s="166"/>
      <c r="T28" s="144"/>
      <c r="U28" s="144"/>
      <c r="V28" s="166"/>
      <c r="W28" s="144"/>
      <c r="X28" s="166"/>
      <c r="Y28" s="173"/>
      <c r="Z28" s="44"/>
      <c r="AA28" s="44"/>
      <c r="AB28" s="44"/>
      <c r="AC28" s="44"/>
      <c r="AD28" s="44"/>
      <c r="AE28" s="44"/>
      <c r="AF28" s="44"/>
      <c r="AG28" s="45"/>
      <c r="AH28" s="136" t="str">
        <f t="shared" si="5"/>
        <v/>
      </c>
      <c r="AI28" s="156"/>
      <c r="AJ28" s="157"/>
      <c r="AK28" s="157"/>
      <c r="AL28" s="157"/>
      <c r="AM28" s="157"/>
    </row>
    <row r="29" ht="15.75" customHeight="1">
      <c r="A29" s="132">
        <v>17.0</v>
      </c>
      <c r="B29" s="132" t="str">
        <f>IF(LEN(C29)&gt;0,VLOOKUP($F$6,DATA!$A:$S,2,FALSE),"")</f>
        <v/>
      </c>
      <c r="C29" s="134" t="str">
        <f t="shared" si="4"/>
        <v/>
      </c>
      <c r="D29" s="158" t="str">
        <f>IF(+ASISTENCIA!D30="","",ASISTENCIA!D30)</f>
        <v/>
      </c>
      <c r="E29" s="136" t="str">
        <f>IF(+ASISTENCIA!E30="","",ASISTENCIA!E30)</f>
        <v/>
      </c>
      <c r="F29" s="159" t="str">
        <f>IF(+ASISTENCIA!F30="","",ASISTENCIA!F30)</f>
        <v/>
      </c>
      <c r="G29" s="159" t="str">
        <f>IF(+ASISTENCIA!G30="","",ASISTENCIA!G30)</f>
        <v/>
      </c>
      <c r="H29" s="144" t="str">
        <f>IF(+ASISTENCIA!H30="","",ASISTENCIA!H30)</f>
        <v/>
      </c>
      <c r="I29" s="143"/>
      <c r="J29" s="164">
        <f>ASISTENCIA!AQ30</f>
        <v>0</v>
      </c>
      <c r="K29" s="143"/>
      <c r="L29" s="144">
        <f>ASISTENCIA!AR30</f>
        <v>0</v>
      </c>
      <c r="M29" s="144">
        <f>ASISTENCIA!AS30</f>
        <v>0</v>
      </c>
      <c r="N29" s="144">
        <f>ASISTENCIA!AU30</f>
        <v>0</v>
      </c>
      <c r="O29" s="143"/>
      <c r="P29" s="144">
        <f>ASISTENCIA!AT30</f>
        <v>0</v>
      </c>
      <c r="Q29" s="166"/>
      <c r="R29" s="144">
        <f>ASISTENCIA!AW30</f>
        <v>0</v>
      </c>
      <c r="S29" s="166"/>
      <c r="T29" s="144"/>
      <c r="U29" s="144"/>
      <c r="V29" s="166"/>
      <c r="W29" s="144"/>
      <c r="X29" s="166"/>
      <c r="Y29" s="173"/>
      <c r="Z29" s="44"/>
      <c r="AA29" s="44"/>
      <c r="AB29" s="44"/>
      <c r="AC29" s="44"/>
      <c r="AD29" s="44"/>
      <c r="AE29" s="44"/>
      <c r="AF29" s="44"/>
      <c r="AG29" s="45"/>
      <c r="AH29" s="136" t="str">
        <f t="shared" si="5"/>
        <v/>
      </c>
      <c r="AI29" s="156"/>
      <c r="AJ29" s="157"/>
      <c r="AK29" s="157"/>
      <c r="AL29" s="157"/>
      <c r="AM29" s="157"/>
    </row>
    <row r="30" ht="15.75" customHeight="1">
      <c r="A30" s="132">
        <v>18.0</v>
      </c>
      <c r="B30" s="132" t="str">
        <f>IF(LEN(C30)&gt;0,VLOOKUP($F$6,DATA!$A:$S,2,FALSE),"")</f>
        <v/>
      </c>
      <c r="C30" s="134" t="str">
        <f t="shared" si="4"/>
        <v/>
      </c>
      <c r="D30" s="158" t="str">
        <f>IF(+ASISTENCIA!D31="","",ASISTENCIA!D31)</f>
        <v/>
      </c>
      <c r="E30" s="136" t="str">
        <f>IF(+ASISTENCIA!E31="","",ASISTENCIA!E31)</f>
        <v/>
      </c>
      <c r="F30" s="159" t="str">
        <f>IF(+ASISTENCIA!F31="","",ASISTENCIA!F31)</f>
        <v/>
      </c>
      <c r="G30" s="159" t="str">
        <f>IF(+ASISTENCIA!G31="","",ASISTENCIA!G31)</f>
        <v/>
      </c>
      <c r="H30" s="144" t="str">
        <f>IF(+ASISTENCIA!H31="","",ASISTENCIA!H31)</f>
        <v/>
      </c>
      <c r="I30" s="143"/>
      <c r="J30" s="164">
        <f>ASISTENCIA!AQ31</f>
        <v>0</v>
      </c>
      <c r="K30" s="143"/>
      <c r="L30" s="144">
        <f>ASISTENCIA!AR31</f>
        <v>0</v>
      </c>
      <c r="M30" s="144">
        <f>ASISTENCIA!AS31</f>
        <v>0</v>
      </c>
      <c r="N30" s="144">
        <f>ASISTENCIA!AU31</f>
        <v>0</v>
      </c>
      <c r="O30" s="143"/>
      <c r="P30" s="144">
        <f>ASISTENCIA!AT31</f>
        <v>0</v>
      </c>
      <c r="Q30" s="166"/>
      <c r="R30" s="144">
        <f>ASISTENCIA!AW31</f>
        <v>0</v>
      </c>
      <c r="S30" s="166"/>
      <c r="T30" s="144"/>
      <c r="U30" s="144"/>
      <c r="V30" s="166"/>
      <c r="W30" s="144"/>
      <c r="X30" s="166"/>
      <c r="Y30" s="173"/>
      <c r="Z30" s="44"/>
      <c r="AA30" s="44"/>
      <c r="AB30" s="44"/>
      <c r="AC30" s="44"/>
      <c r="AD30" s="44"/>
      <c r="AE30" s="44"/>
      <c r="AF30" s="44"/>
      <c r="AG30" s="45"/>
      <c r="AH30" s="136" t="str">
        <f t="shared" si="5"/>
        <v/>
      </c>
      <c r="AI30" s="156"/>
      <c r="AJ30" s="157"/>
      <c r="AK30" s="157"/>
      <c r="AL30" s="157"/>
      <c r="AM30" s="157"/>
    </row>
    <row r="31" ht="15.75" customHeight="1">
      <c r="A31" s="132">
        <v>19.0</v>
      </c>
      <c r="B31" s="132" t="str">
        <f>IF(LEN(C31)&gt;0,VLOOKUP($F$6,DATA!$A:$S,2,FALSE),"")</f>
        <v/>
      </c>
      <c r="C31" s="134" t="str">
        <f t="shared" si="4"/>
        <v/>
      </c>
      <c r="D31" s="158" t="str">
        <f>IF(+ASISTENCIA!D32="","",ASISTENCIA!D32)</f>
        <v/>
      </c>
      <c r="E31" s="136" t="str">
        <f>IF(+ASISTENCIA!E32="","",ASISTENCIA!E32)</f>
        <v/>
      </c>
      <c r="F31" s="159" t="str">
        <f>IF(+ASISTENCIA!F32="","",ASISTENCIA!F32)</f>
        <v/>
      </c>
      <c r="G31" s="159" t="str">
        <f>IF(+ASISTENCIA!G32="","",ASISTENCIA!G32)</f>
        <v/>
      </c>
      <c r="H31" s="144" t="str">
        <f>IF(+ASISTENCIA!H32="","",ASISTENCIA!H32)</f>
        <v/>
      </c>
      <c r="I31" s="143"/>
      <c r="J31" s="164">
        <f>ASISTENCIA!AQ32</f>
        <v>0</v>
      </c>
      <c r="K31" s="143"/>
      <c r="L31" s="144">
        <f>ASISTENCIA!AR32</f>
        <v>0</v>
      </c>
      <c r="M31" s="144">
        <f>ASISTENCIA!AS32</f>
        <v>0</v>
      </c>
      <c r="N31" s="144">
        <f>ASISTENCIA!AU32</f>
        <v>0</v>
      </c>
      <c r="O31" s="143"/>
      <c r="P31" s="144">
        <f>ASISTENCIA!AT32</f>
        <v>0</v>
      </c>
      <c r="Q31" s="166"/>
      <c r="R31" s="144">
        <f>ASISTENCIA!AW32</f>
        <v>0</v>
      </c>
      <c r="S31" s="166"/>
      <c r="T31" s="144"/>
      <c r="U31" s="144"/>
      <c r="V31" s="166"/>
      <c r="W31" s="144"/>
      <c r="X31" s="166"/>
      <c r="Y31" s="173"/>
      <c r="Z31" s="44"/>
      <c r="AA31" s="44"/>
      <c r="AB31" s="44"/>
      <c r="AC31" s="44"/>
      <c r="AD31" s="44"/>
      <c r="AE31" s="44"/>
      <c r="AF31" s="44"/>
      <c r="AG31" s="45"/>
      <c r="AH31" s="136" t="str">
        <f t="shared" si="5"/>
        <v/>
      </c>
      <c r="AI31" s="156"/>
      <c r="AJ31" s="157"/>
      <c r="AK31" s="157"/>
      <c r="AL31" s="157"/>
      <c r="AM31" s="157"/>
    </row>
    <row r="32" ht="15.75" customHeight="1">
      <c r="A32" s="132">
        <v>20.0</v>
      </c>
      <c r="B32" s="132" t="str">
        <f>IF(LEN(C32)&gt;0,VLOOKUP($F$6,DATA!$A:$S,2,FALSE),"")</f>
        <v/>
      </c>
      <c r="C32" s="134" t="str">
        <f t="shared" si="4"/>
        <v/>
      </c>
      <c r="D32" s="158" t="str">
        <f>IF(+ASISTENCIA!D33="","",ASISTENCIA!D33)</f>
        <v/>
      </c>
      <c r="E32" s="136" t="str">
        <f>IF(+ASISTENCIA!E33="","",ASISTENCIA!E33)</f>
        <v/>
      </c>
      <c r="F32" s="159" t="str">
        <f>IF(+ASISTENCIA!F33="","",ASISTENCIA!F33)</f>
        <v/>
      </c>
      <c r="G32" s="159" t="str">
        <f>IF(+ASISTENCIA!G33="","",ASISTENCIA!G33)</f>
        <v/>
      </c>
      <c r="H32" s="144" t="str">
        <f>IF(+ASISTENCIA!H33="","",ASISTENCIA!H33)</f>
        <v/>
      </c>
      <c r="I32" s="143"/>
      <c r="J32" s="164">
        <f>ASISTENCIA!AQ33</f>
        <v>0</v>
      </c>
      <c r="K32" s="143"/>
      <c r="L32" s="144">
        <f>ASISTENCIA!AR33</f>
        <v>0</v>
      </c>
      <c r="M32" s="144">
        <f>ASISTENCIA!AS33</f>
        <v>0</v>
      </c>
      <c r="N32" s="144">
        <f>ASISTENCIA!AU33</f>
        <v>0</v>
      </c>
      <c r="O32" s="143"/>
      <c r="P32" s="144">
        <f>ASISTENCIA!AT33</f>
        <v>0</v>
      </c>
      <c r="Q32" s="166"/>
      <c r="R32" s="144">
        <f>ASISTENCIA!AW33</f>
        <v>0</v>
      </c>
      <c r="S32" s="166"/>
      <c r="T32" s="144"/>
      <c r="U32" s="144"/>
      <c r="V32" s="166"/>
      <c r="W32" s="144"/>
      <c r="X32" s="166"/>
      <c r="Y32" s="173"/>
      <c r="Z32" s="44"/>
      <c r="AA32" s="44"/>
      <c r="AB32" s="44"/>
      <c r="AC32" s="44"/>
      <c r="AD32" s="44"/>
      <c r="AE32" s="44"/>
      <c r="AF32" s="44"/>
      <c r="AG32" s="45"/>
      <c r="AH32" s="136" t="str">
        <f t="shared" si="5"/>
        <v/>
      </c>
      <c r="AI32" s="156"/>
      <c r="AJ32" s="157"/>
      <c r="AK32" s="157"/>
      <c r="AL32" s="157"/>
      <c r="AM32" s="157"/>
    </row>
    <row r="33" ht="15.75" customHeight="1">
      <c r="A33" s="132">
        <v>21.0</v>
      </c>
      <c r="B33" s="132" t="str">
        <f>IF(LEN(C33)&gt;0,VLOOKUP($F$6,DATA!$A:$S,2,FALSE),"")</f>
        <v/>
      </c>
      <c r="C33" s="134" t="str">
        <f t="shared" si="4"/>
        <v/>
      </c>
      <c r="D33" s="158" t="str">
        <f>IF(+ASISTENCIA!D34="","",ASISTENCIA!D34)</f>
        <v/>
      </c>
      <c r="E33" s="136" t="str">
        <f>IF(+ASISTENCIA!E34="","",ASISTENCIA!E34)</f>
        <v/>
      </c>
      <c r="F33" s="159" t="str">
        <f>IF(+ASISTENCIA!F34="","",ASISTENCIA!F34)</f>
        <v/>
      </c>
      <c r="G33" s="159" t="str">
        <f>IF(+ASISTENCIA!G34="","",ASISTENCIA!G34)</f>
        <v/>
      </c>
      <c r="H33" s="144" t="str">
        <f>IF(+ASISTENCIA!H34="","",ASISTENCIA!H34)</f>
        <v/>
      </c>
      <c r="I33" s="143"/>
      <c r="J33" s="164">
        <f>ASISTENCIA!AQ34</f>
        <v>0</v>
      </c>
      <c r="K33" s="143"/>
      <c r="L33" s="144">
        <f>ASISTENCIA!AR34</f>
        <v>0</v>
      </c>
      <c r="M33" s="144">
        <f>ASISTENCIA!AS34</f>
        <v>0</v>
      </c>
      <c r="N33" s="144">
        <f>ASISTENCIA!AU34</f>
        <v>0</v>
      </c>
      <c r="O33" s="143"/>
      <c r="P33" s="144">
        <f>ASISTENCIA!AT34</f>
        <v>0</v>
      </c>
      <c r="Q33" s="166"/>
      <c r="R33" s="144">
        <f>ASISTENCIA!AW34</f>
        <v>0</v>
      </c>
      <c r="S33" s="166"/>
      <c r="T33" s="144"/>
      <c r="U33" s="144"/>
      <c r="V33" s="166"/>
      <c r="W33" s="144"/>
      <c r="X33" s="166"/>
      <c r="Y33" s="173"/>
      <c r="Z33" s="44"/>
      <c r="AA33" s="44"/>
      <c r="AB33" s="44"/>
      <c r="AC33" s="44"/>
      <c r="AD33" s="44"/>
      <c r="AE33" s="44"/>
      <c r="AF33" s="44"/>
      <c r="AG33" s="45"/>
      <c r="AH33" s="136" t="str">
        <f t="shared" si="5"/>
        <v/>
      </c>
      <c r="AI33" s="156"/>
      <c r="AJ33" s="157"/>
      <c r="AK33" s="157"/>
      <c r="AL33" s="157"/>
      <c r="AM33" s="157"/>
    </row>
    <row r="34" ht="15.75" customHeight="1">
      <c r="A34" s="132">
        <v>22.0</v>
      </c>
      <c r="B34" s="132" t="str">
        <f>IF(LEN(C34)&gt;0,VLOOKUP($F$6,DATA!$A:$S,2,FALSE),"")</f>
        <v/>
      </c>
      <c r="C34" s="134" t="str">
        <f t="shared" si="4"/>
        <v/>
      </c>
      <c r="D34" s="158" t="str">
        <f>IF(+ASISTENCIA!D35="","",ASISTENCIA!D35)</f>
        <v/>
      </c>
      <c r="E34" s="136" t="str">
        <f>IF(+ASISTENCIA!E35="","",ASISTENCIA!E35)</f>
        <v/>
      </c>
      <c r="F34" s="159" t="str">
        <f>IF(+ASISTENCIA!F35="","",ASISTENCIA!F35)</f>
        <v/>
      </c>
      <c r="G34" s="159" t="str">
        <f>IF(+ASISTENCIA!G35="","",ASISTENCIA!G35)</f>
        <v/>
      </c>
      <c r="H34" s="144" t="str">
        <f>IF(+ASISTENCIA!H35="","",ASISTENCIA!H35)</f>
        <v/>
      </c>
      <c r="I34" s="143"/>
      <c r="J34" s="164">
        <f>ASISTENCIA!AQ35</f>
        <v>0</v>
      </c>
      <c r="K34" s="143"/>
      <c r="L34" s="144">
        <f>ASISTENCIA!AR35</f>
        <v>0</v>
      </c>
      <c r="M34" s="144">
        <f>ASISTENCIA!AS35</f>
        <v>0</v>
      </c>
      <c r="N34" s="144">
        <f>ASISTENCIA!AU35</f>
        <v>0</v>
      </c>
      <c r="O34" s="143"/>
      <c r="P34" s="144">
        <f>ASISTENCIA!AT35</f>
        <v>0</v>
      </c>
      <c r="Q34" s="166"/>
      <c r="R34" s="144">
        <f>ASISTENCIA!AW35</f>
        <v>0</v>
      </c>
      <c r="S34" s="166"/>
      <c r="T34" s="144"/>
      <c r="U34" s="144"/>
      <c r="V34" s="166"/>
      <c r="W34" s="144"/>
      <c r="X34" s="166"/>
      <c r="Y34" s="173"/>
      <c r="Z34" s="44"/>
      <c r="AA34" s="44"/>
      <c r="AB34" s="44"/>
      <c r="AC34" s="44"/>
      <c r="AD34" s="44"/>
      <c r="AE34" s="44"/>
      <c r="AF34" s="44"/>
      <c r="AG34" s="45"/>
      <c r="AH34" s="136" t="str">
        <f t="shared" si="5"/>
        <v/>
      </c>
      <c r="AI34" s="156"/>
      <c r="AJ34" s="157"/>
      <c r="AK34" s="157"/>
      <c r="AL34" s="157"/>
      <c r="AM34" s="157"/>
    </row>
    <row r="35" ht="15.75" customHeight="1">
      <c r="A35" s="132">
        <v>23.0</v>
      </c>
      <c r="B35" s="132" t="str">
        <f>IF(LEN(C35)&gt;0,VLOOKUP($F$6,DATA!$A:$S,2,FALSE),"")</f>
        <v/>
      </c>
      <c r="C35" s="134" t="str">
        <f t="shared" si="4"/>
        <v/>
      </c>
      <c r="D35" s="158" t="str">
        <f>IF(+ASISTENCIA!D36="","",ASISTENCIA!D36)</f>
        <v/>
      </c>
      <c r="E35" s="136" t="str">
        <f>IF(+ASISTENCIA!E36="","",ASISTENCIA!E36)</f>
        <v/>
      </c>
      <c r="F35" s="159" t="str">
        <f>IF(+ASISTENCIA!F36="","",ASISTENCIA!F36)</f>
        <v/>
      </c>
      <c r="G35" s="159" t="str">
        <f>IF(+ASISTENCIA!G36="","",ASISTENCIA!G36)</f>
        <v/>
      </c>
      <c r="H35" s="144" t="str">
        <f>IF(+ASISTENCIA!H36="","",ASISTENCIA!H36)</f>
        <v/>
      </c>
      <c r="I35" s="143"/>
      <c r="J35" s="164">
        <f>ASISTENCIA!AQ36</f>
        <v>0</v>
      </c>
      <c r="K35" s="143"/>
      <c r="L35" s="144">
        <f>ASISTENCIA!AR36</f>
        <v>0</v>
      </c>
      <c r="M35" s="144">
        <f>ASISTENCIA!AS36</f>
        <v>0</v>
      </c>
      <c r="N35" s="144">
        <f>ASISTENCIA!AU36</f>
        <v>0</v>
      </c>
      <c r="O35" s="143"/>
      <c r="P35" s="144">
        <f>ASISTENCIA!AT36</f>
        <v>0</v>
      </c>
      <c r="Q35" s="166"/>
      <c r="R35" s="144">
        <f>ASISTENCIA!AW36</f>
        <v>0</v>
      </c>
      <c r="S35" s="166"/>
      <c r="T35" s="144"/>
      <c r="U35" s="144"/>
      <c r="V35" s="166"/>
      <c r="W35" s="144"/>
      <c r="X35" s="166"/>
      <c r="Y35" s="173"/>
      <c r="Z35" s="44"/>
      <c r="AA35" s="44"/>
      <c r="AB35" s="44"/>
      <c r="AC35" s="44"/>
      <c r="AD35" s="44"/>
      <c r="AE35" s="44"/>
      <c r="AF35" s="44"/>
      <c r="AG35" s="45"/>
      <c r="AH35" s="136" t="str">
        <f t="shared" si="5"/>
        <v/>
      </c>
      <c r="AI35" s="156"/>
      <c r="AJ35" s="157"/>
      <c r="AK35" s="157"/>
      <c r="AL35" s="157"/>
      <c r="AM35" s="157"/>
    </row>
    <row r="36" ht="15.75" customHeight="1">
      <c r="A36" s="132">
        <v>24.0</v>
      </c>
      <c r="B36" s="132" t="str">
        <f>IF(LEN(C36)&gt;0,VLOOKUP($F$6,DATA!$A:$S,2,FALSE),"")</f>
        <v/>
      </c>
      <c r="C36" s="134" t="str">
        <f t="shared" si="4"/>
        <v/>
      </c>
      <c r="D36" s="158" t="str">
        <f>IF(+ASISTENCIA!D37="","",ASISTENCIA!D37)</f>
        <v/>
      </c>
      <c r="E36" s="136" t="str">
        <f>IF(+ASISTENCIA!E37="","",ASISTENCIA!E37)</f>
        <v/>
      </c>
      <c r="F36" s="159" t="str">
        <f>IF(+ASISTENCIA!F37="","",ASISTENCIA!F37)</f>
        <v/>
      </c>
      <c r="G36" s="159" t="str">
        <f>IF(+ASISTENCIA!G37="","",ASISTENCIA!G37)</f>
        <v/>
      </c>
      <c r="H36" s="144" t="str">
        <f>IF(+ASISTENCIA!H37="","",ASISTENCIA!H37)</f>
        <v/>
      </c>
      <c r="I36" s="143"/>
      <c r="J36" s="164">
        <f>ASISTENCIA!AQ37</f>
        <v>0</v>
      </c>
      <c r="K36" s="143"/>
      <c r="L36" s="144">
        <f>ASISTENCIA!AR37</f>
        <v>0</v>
      </c>
      <c r="M36" s="144">
        <f>ASISTENCIA!AS37</f>
        <v>0</v>
      </c>
      <c r="N36" s="144">
        <f>ASISTENCIA!AU37</f>
        <v>0</v>
      </c>
      <c r="O36" s="143"/>
      <c r="P36" s="144">
        <f>ASISTENCIA!AT37</f>
        <v>0</v>
      </c>
      <c r="Q36" s="166"/>
      <c r="R36" s="144">
        <f>ASISTENCIA!AW37</f>
        <v>0</v>
      </c>
      <c r="S36" s="166"/>
      <c r="T36" s="144"/>
      <c r="U36" s="144"/>
      <c r="V36" s="166"/>
      <c r="W36" s="144"/>
      <c r="X36" s="166"/>
      <c r="Y36" s="173"/>
      <c r="Z36" s="44"/>
      <c r="AA36" s="44"/>
      <c r="AB36" s="44"/>
      <c r="AC36" s="44"/>
      <c r="AD36" s="44"/>
      <c r="AE36" s="44"/>
      <c r="AF36" s="44"/>
      <c r="AG36" s="45"/>
      <c r="AH36" s="136" t="str">
        <f t="shared" si="5"/>
        <v/>
      </c>
      <c r="AI36" s="156"/>
      <c r="AJ36" s="157"/>
      <c r="AK36" s="157"/>
      <c r="AL36" s="157"/>
      <c r="AM36" s="157"/>
    </row>
    <row r="37" ht="15.75" customHeight="1">
      <c r="A37" s="132">
        <v>25.0</v>
      </c>
      <c r="B37" s="132" t="str">
        <f>IF(LEN(C37)&gt;0,VLOOKUP($F$6,DATA!$A:$S,2,FALSE),"")</f>
        <v/>
      </c>
      <c r="C37" s="134" t="str">
        <f t="shared" si="4"/>
        <v/>
      </c>
      <c r="D37" s="158" t="str">
        <f>IF(+ASISTENCIA!D38="","",ASISTENCIA!D38)</f>
        <v/>
      </c>
      <c r="E37" s="136" t="str">
        <f>IF(+ASISTENCIA!E38="","",ASISTENCIA!E38)</f>
        <v/>
      </c>
      <c r="F37" s="159" t="str">
        <f>IF(+ASISTENCIA!F38="","",ASISTENCIA!F38)</f>
        <v/>
      </c>
      <c r="G37" s="159" t="str">
        <f>IF(+ASISTENCIA!G38="","",ASISTENCIA!G38)</f>
        <v/>
      </c>
      <c r="H37" s="144" t="str">
        <f>IF(+ASISTENCIA!H38="","",ASISTENCIA!H38)</f>
        <v/>
      </c>
      <c r="I37" s="143"/>
      <c r="J37" s="164">
        <f>ASISTENCIA!AQ38</f>
        <v>0</v>
      </c>
      <c r="K37" s="143"/>
      <c r="L37" s="144">
        <f>ASISTENCIA!AR38</f>
        <v>0</v>
      </c>
      <c r="M37" s="144">
        <f>ASISTENCIA!AS38</f>
        <v>0</v>
      </c>
      <c r="N37" s="144">
        <f>ASISTENCIA!AU38</f>
        <v>0</v>
      </c>
      <c r="O37" s="143"/>
      <c r="P37" s="144">
        <f>ASISTENCIA!AT38</f>
        <v>0</v>
      </c>
      <c r="Q37" s="166"/>
      <c r="R37" s="144">
        <f>ASISTENCIA!AW38</f>
        <v>0</v>
      </c>
      <c r="S37" s="166"/>
      <c r="T37" s="144"/>
      <c r="U37" s="144"/>
      <c r="V37" s="166"/>
      <c r="W37" s="144"/>
      <c r="X37" s="166"/>
      <c r="Y37" s="173"/>
      <c r="Z37" s="44"/>
      <c r="AA37" s="44"/>
      <c r="AB37" s="44"/>
      <c r="AC37" s="44"/>
      <c r="AD37" s="44"/>
      <c r="AE37" s="44"/>
      <c r="AF37" s="44"/>
      <c r="AG37" s="45"/>
      <c r="AH37" s="136" t="str">
        <f t="shared" si="5"/>
        <v/>
      </c>
      <c r="AI37" s="156"/>
      <c r="AJ37" s="157"/>
      <c r="AK37" s="157"/>
      <c r="AL37" s="157"/>
      <c r="AM37" s="157"/>
    </row>
    <row r="38" ht="15.75" customHeight="1">
      <c r="A38" s="132">
        <v>26.0</v>
      </c>
      <c r="B38" s="132" t="str">
        <f>IF(LEN(C38)&gt;0,VLOOKUP($F$6,DATA!$A:$S,2,FALSE),"")</f>
        <v/>
      </c>
      <c r="C38" s="134" t="str">
        <f t="shared" si="4"/>
        <v/>
      </c>
      <c r="D38" s="158" t="str">
        <f>IF(+ASISTENCIA!D39="","",ASISTENCIA!D39)</f>
        <v/>
      </c>
      <c r="E38" s="136" t="str">
        <f>IF(+ASISTENCIA!E39="","",ASISTENCIA!E39)</f>
        <v/>
      </c>
      <c r="F38" s="159" t="str">
        <f>IF(+ASISTENCIA!F39="","",ASISTENCIA!F39)</f>
        <v/>
      </c>
      <c r="G38" s="159" t="str">
        <f>IF(+ASISTENCIA!G39="","",ASISTENCIA!G39)</f>
        <v/>
      </c>
      <c r="H38" s="144" t="str">
        <f>IF(+ASISTENCIA!H39="","",ASISTENCIA!H39)</f>
        <v/>
      </c>
      <c r="I38" s="143"/>
      <c r="J38" s="164">
        <f>ASISTENCIA!AQ39</f>
        <v>0</v>
      </c>
      <c r="K38" s="143"/>
      <c r="L38" s="144">
        <f>ASISTENCIA!AR39</f>
        <v>0</v>
      </c>
      <c r="M38" s="144">
        <f>ASISTENCIA!AS39</f>
        <v>0</v>
      </c>
      <c r="N38" s="144">
        <f>ASISTENCIA!AU39</f>
        <v>0</v>
      </c>
      <c r="O38" s="143"/>
      <c r="P38" s="144">
        <f>ASISTENCIA!AT39</f>
        <v>0</v>
      </c>
      <c r="Q38" s="166"/>
      <c r="R38" s="144">
        <f>ASISTENCIA!AW39</f>
        <v>0</v>
      </c>
      <c r="S38" s="166"/>
      <c r="T38" s="144"/>
      <c r="U38" s="144"/>
      <c r="V38" s="166"/>
      <c r="W38" s="144"/>
      <c r="X38" s="166"/>
      <c r="Y38" s="173"/>
      <c r="Z38" s="44"/>
      <c r="AA38" s="44"/>
      <c r="AB38" s="44"/>
      <c r="AC38" s="44"/>
      <c r="AD38" s="44"/>
      <c r="AE38" s="44"/>
      <c r="AF38" s="44"/>
      <c r="AG38" s="45"/>
      <c r="AH38" s="136" t="str">
        <f t="shared" si="5"/>
        <v/>
      </c>
      <c r="AI38" s="156"/>
      <c r="AJ38" s="157"/>
      <c r="AK38" s="157"/>
      <c r="AL38" s="157"/>
      <c r="AM38" s="157"/>
    </row>
    <row r="39" ht="15.75" customHeight="1">
      <c r="A39" s="132">
        <v>27.0</v>
      </c>
      <c r="B39" s="132" t="str">
        <f>IF(LEN(C39)&gt;0,VLOOKUP($F$6,DATA!$A:$S,2,FALSE),"")</f>
        <v/>
      </c>
      <c r="C39" s="134" t="str">
        <f t="shared" si="4"/>
        <v/>
      </c>
      <c r="D39" s="158" t="str">
        <f>IF(+ASISTENCIA!D40="","",ASISTENCIA!D40)</f>
        <v/>
      </c>
      <c r="E39" s="136" t="str">
        <f>IF(+ASISTENCIA!E40="","",ASISTENCIA!E40)</f>
        <v/>
      </c>
      <c r="F39" s="159" t="str">
        <f>IF(+ASISTENCIA!F40="","",ASISTENCIA!F40)</f>
        <v/>
      </c>
      <c r="G39" s="159" t="str">
        <f>IF(+ASISTENCIA!G40="","",ASISTENCIA!G40)</f>
        <v/>
      </c>
      <c r="H39" s="144" t="str">
        <f>IF(+ASISTENCIA!H40="","",ASISTENCIA!H40)</f>
        <v/>
      </c>
      <c r="I39" s="143"/>
      <c r="J39" s="164">
        <f>ASISTENCIA!AQ40</f>
        <v>0</v>
      </c>
      <c r="K39" s="143"/>
      <c r="L39" s="144">
        <f>ASISTENCIA!AR40</f>
        <v>0</v>
      </c>
      <c r="M39" s="144">
        <f>ASISTENCIA!AS40</f>
        <v>0</v>
      </c>
      <c r="N39" s="144">
        <f>ASISTENCIA!AU40</f>
        <v>0</v>
      </c>
      <c r="O39" s="143"/>
      <c r="P39" s="144">
        <f>ASISTENCIA!AT40</f>
        <v>0</v>
      </c>
      <c r="Q39" s="166"/>
      <c r="R39" s="144">
        <f>ASISTENCIA!AW40</f>
        <v>0</v>
      </c>
      <c r="S39" s="166"/>
      <c r="T39" s="144"/>
      <c r="U39" s="144"/>
      <c r="V39" s="166"/>
      <c r="W39" s="144"/>
      <c r="X39" s="166"/>
      <c r="Y39" s="173"/>
      <c r="Z39" s="44"/>
      <c r="AA39" s="44"/>
      <c r="AB39" s="44"/>
      <c r="AC39" s="44"/>
      <c r="AD39" s="44"/>
      <c r="AE39" s="44"/>
      <c r="AF39" s="44"/>
      <c r="AG39" s="45"/>
      <c r="AH39" s="136" t="str">
        <f t="shared" si="5"/>
        <v/>
      </c>
      <c r="AI39" s="156"/>
      <c r="AJ39" s="157"/>
      <c r="AK39" s="157"/>
      <c r="AL39" s="157"/>
      <c r="AM39" s="157"/>
    </row>
    <row r="40" ht="15.75" customHeight="1">
      <c r="A40" s="132">
        <v>28.0</v>
      </c>
      <c r="B40" s="132" t="str">
        <f>IF(LEN(C40)&gt;0,VLOOKUP($F$6,DATA!$A:$S,2,FALSE),"")</f>
        <v/>
      </c>
      <c r="C40" s="134" t="str">
        <f t="shared" si="4"/>
        <v/>
      </c>
      <c r="D40" s="158" t="str">
        <f>IF(+ASISTENCIA!D41="","",ASISTENCIA!D41)</f>
        <v/>
      </c>
      <c r="E40" s="136" t="str">
        <f>IF(+ASISTENCIA!E41="","",ASISTENCIA!E41)</f>
        <v/>
      </c>
      <c r="F40" s="159" t="str">
        <f>IF(+ASISTENCIA!F41="","",ASISTENCIA!F41)</f>
        <v/>
      </c>
      <c r="G40" s="159" t="str">
        <f>IF(+ASISTENCIA!G41="","",ASISTENCIA!G41)</f>
        <v/>
      </c>
      <c r="H40" s="144" t="str">
        <f>IF(+ASISTENCIA!H41="","",ASISTENCIA!H41)</f>
        <v/>
      </c>
      <c r="I40" s="143"/>
      <c r="J40" s="164">
        <f>ASISTENCIA!AQ41</f>
        <v>0</v>
      </c>
      <c r="K40" s="143"/>
      <c r="L40" s="144">
        <f>ASISTENCIA!AR41</f>
        <v>0</v>
      </c>
      <c r="M40" s="144">
        <f>ASISTENCIA!AS41</f>
        <v>0</v>
      </c>
      <c r="N40" s="144">
        <f>ASISTENCIA!AU41</f>
        <v>0</v>
      </c>
      <c r="O40" s="143"/>
      <c r="P40" s="144">
        <f>ASISTENCIA!AT41</f>
        <v>0</v>
      </c>
      <c r="Q40" s="166"/>
      <c r="R40" s="144">
        <f>ASISTENCIA!AW41</f>
        <v>0</v>
      </c>
      <c r="S40" s="166"/>
      <c r="T40" s="144"/>
      <c r="U40" s="144"/>
      <c r="V40" s="166"/>
      <c r="W40" s="144"/>
      <c r="X40" s="166"/>
      <c r="Y40" s="173"/>
      <c r="Z40" s="44"/>
      <c r="AA40" s="44"/>
      <c r="AB40" s="44"/>
      <c r="AC40" s="44"/>
      <c r="AD40" s="44"/>
      <c r="AE40" s="44"/>
      <c r="AF40" s="44"/>
      <c r="AG40" s="45"/>
      <c r="AH40" s="136" t="str">
        <f t="shared" si="5"/>
        <v/>
      </c>
      <c r="AI40" s="156"/>
      <c r="AJ40" s="157"/>
      <c r="AK40" s="157"/>
      <c r="AL40" s="157"/>
      <c r="AM40" s="157"/>
    </row>
    <row r="41" ht="15.75" customHeight="1">
      <c r="A41" s="132">
        <v>29.0</v>
      </c>
      <c r="B41" s="132" t="str">
        <f>IF(LEN(C41)&gt;0,VLOOKUP($F$6,DATA!$A:$S,2,FALSE),"")</f>
        <v/>
      </c>
      <c r="C41" s="134" t="str">
        <f t="shared" si="4"/>
        <v/>
      </c>
      <c r="D41" s="158" t="str">
        <f>IF(+ASISTENCIA!D42="","",ASISTENCIA!D42)</f>
        <v/>
      </c>
      <c r="E41" s="136" t="str">
        <f>IF(+ASISTENCIA!E42="","",ASISTENCIA!E42)</f>
        <v/>
      </c>
      <c r="F41" s="159" t="str">
        <f>IF(+ASISTENCIA!F42="","",ASISTENCIA!F42)</f>
        <v/>
      </c>
      <c r="G41" s="159" t="str">
        <f>IF(+ASISTENCIA!G42="","",ASISTENCIA!G42)</f>
        <v/>
      </c>
      <c r="H41" s="144" t="str">
        <f>IF(+ASISTENCIA!H42="","",ASISTENCIA!H42)</f>
        <v/>
      </c>
      <c r="I41" s="143"/>
      <c r="J41" s="164">
        <f>ASISTENCIA!AQ42</f>
        <v>0</v>
      </c>
      <c r="K41" s="143"/>
      <c r="L41" s="144">
        <f>ASISTENCIA!AR42</f>
        <v>0</v>
      </c>
      <c r="M41" s="144">
        <f>ASISTENCIA!AS42</f>
        <v>0</v>
      </c>
      <c r="N41" s="144">
        <f>ASISTENCIA!AU42</f>
        <v>0</v>
      </c>
      <c r="O41" s="143"/>
      <c r="P41" s="144">
        <f>ASISTENCIA!AT42</f>
        <v>0</v>
      </c>
      <c r="Q41" s="166"/>
      <c r="R41" s="144">
        <f>ASISTENCIA!AW42</f>
        <v>0</v>
      </c>
      <c r="S41" s="166"/>
      <c r="T41" s="144"/>
      <c r="U41" s="144"/>
      <c r="V41" s="166"/>
      <c r="W41" s="144"/>
      <c r="X41" s="166"/>
      <c r="Y41" s="173"/>
      <c r="Z41" s="44"/>
      <c r="AA41" s="44"/>
      <c r="AB41" s="44"/>
      <c r="AC41" s="44"/>
      <c r="AD41" s="44"/>
      <c r="AE41" s="44"/>
      <c r="AF41" s="44"/>
      <c r="AG41" s="45"/>
      <c r="AH41" s="136"/>
      <c r="AI41" s="156"/>
      <c r="AJ41" s="157"/>
      <c r="AK41" s="157"/>
      <c r="AL41" s="157"/>
      <c r="AM41" s="157"/>
    </row>
    <row r="42" ht="15.75" customHeight="1">
      <c r="A42" s="132">
        <v>30.0</v>
      </c>
      <c r="B42" s="132" t="str">
        <f>IF(LEN(C42)&gt;0,VLOOKUP($F$6,DATA!$A:$S,2,FALSE),"")</f>
        <v/>
      </c>
      <c r="C42" s="134" t="str">
        <f t="shared" si="4"/>
        <v/>
      </c>
      <c r="D42" s="158" t="str">
        <f>IF(+ASISTENCIA!D43="","",ASISTENCIA!D43)</f>
        <v/>
      </c>
      <c r="E42" s="136" t="str">
        <f>IF(+ASISTENCIA!E43="","",ASISTENCIA!E43)</f>
        <v/>
      </c>
      <c r="F42" s="159" t="str">
        <f>IF(+ASISTENCIA!F43="","",ASISTENCIA!F43)</f>
        <v/>
      </c>
      <c r="G42" s="159" t="str">
        <f>IF(+ASISTENCIA!G43="","",ASISTENCIA!G43)</f>
        <v/>
      </c>
      <c r="H42" s="144" t="str">
        <f>IF(+ASISTENCIA!H43="","",ASISTENCIA!H43)</f>
        <v/>
      </c>
      <c r="I42" s="143"/>
      <c r="J42" s="164">
        <f>ASISTENCIA!AQ43</f>
        <v>0</v>
      </c>
      <c r="K42" s="143"/>
      <c r="L42" s="144">
        <f>ASISTENCIA!AR43</f>
        <v>0</v>
      </c>
      <c r="M42" s="144">
        <f>ASISTENCIA!AS43</f>
        <v>0</v>
      </c>
      <c r="N42" s="144">
        <f>ASISTENCIA!AU43</f>
        <v>0</v>
      </c>
      <c r="O42" s="143"/>
      <c r="P42" s="144">
        <f>ASISTENCIA!AT43</f>
        <v>0</v>
      </c>
      <c r="Q42" s="166"/>
      <c r="R42" s="144">
        <f>ASISTENCIA!AW43</f>
        <v>0</v>
      </c>
      <c r="S42" s="166"/>
      <c r="T42" s="144"/>
      <c r="U42" s="144"/>
      <c r="V42" s="166"/>
      <c r="W42" s="144"/>
      <c r="X42" s="166"/>
      <c r="Y42" s="173"/>
      <c r="Z42" s="44"/>
      <c r="AA42" s="44"/>
      <c r="AB42" s="44"/>
      <c r="AC42" s="44"/>
      <c r="AD42" s="44"/>
      <c r="AE42" s="44"/>
      <c r="AF42" s="44"/>
      <c r="AG42" s="45"/>
      <c r="AH42" s="136"/>
      <c r="AI42" s="156"/>
      <c r="AJ42" s="157"/>
      <c r="AK42" s="157"/>
      <c r="AL42" s="157"/>
      <c r="AM42" s="157"/>
    </row>
    <row r="43" ht="15.75" customHeight="1">
      <c r="A43" s="132">
        <v>31.0</v>
      </c>
      <c r="B43" s="132"/>
      <c r="C43" s="134"/>
      <c r="D43" s="158"/>
      <c r="E43" s="136"/>
      <c r="F43" s="159"/>
      <c r="G43" s="159"/>
      <c r="H43" s="144"/>
      <c r="I43" s="143"/>
      <c r="J43" s="164" t="str">
        <f>ASISTENCIA!AQ44</f>
        <v/>
      </c>
      <c r="K43" s="143"/>
      <c r="L43" s="144" t="str">
        <f>ASISTENCIA!AR44</f>
        <v/>
      </c>
      <c r="M43" s="144" t="str">
        <f>ASISTENCIA!AS44</f>
        <v/>
      </c>
      <c r="N43" s="144" t="str">
        <f>ASISTENCIA!AU44</f>
        <v/>
      </c>
      <c r="O43" s="143"/>
      <c r="P43" s="144" t="str">
        <f>ASISTENCIA!AT44</f>
        <v/>
      </c>
      <c r="Q43" s="166"/>
      <c r="R43" s="144" t="str">
        <f>ASISTENCIA!AW44</f>
        <v/>
      </c>
      <c r="S43" s="166"/>
      <c r="T43" s="144"/>
      <c r="U43" s="144"/>
      <c r="V43" s="166"/>
      <c r="W43" s="144"/>
      <c r="X43" s="166"/>
      <c r="Y43" s="173"/>
      <c r="Z43" s="200"/>
      <c r="AA43" s="200"/>
      <c r="AB43" s="200"/>
      <c r="AC43" s="200"/>
      <c r="AD43" s="200"/>
      <c r="AE43" s="200"/>
      <c r="AF43" s="200"/>
      <c r="AG43" s="201"/>
      <c r="AH43" s="136"/>
      <c r="AI43" s="156"/>
      <c r="AJ43" s="157"/>
      <c r="AK43" s="157"/>
      <c r="AL43" s="157"/>
      <c r="AM43" s="157"/>
    </row>
    <row r="44" ht="15.75" customHeight="1">
      <c r="A44" s="132">
        <v>32.0</v>
      </c>
      <c r="B44" s="132"/>
      <c r="C44" s="134"/>
      <c r="D44" s="158"/>
      <c r="E44" s="136"/>
      <c r="F44" s="159"/>
      <c r="G44" s="159"/>
      <c r="H44" s="144"/>
      <c r="I44" s="143"/>
      <c r="J44" s="164">
        <f>ASISTENCIA!AQ45</f>
        <v>0</v>
      </c>
      <c r="K44" s="143"/>
      <c r="L44" s="144">
        <f>ASISTENCIA!AR45</f>
        <v>0</v>
      </c>
      <c r="M44" s="144">
        <f>ASISTENCIA!AS45</f>
        <v>0</v>
      </c>
      <c r="N44" s="144">
        <f>ASISTENCIA!AU45</f>
        <v>0</v>
      </c>
      <c r="O44" s="143"/>
      <c r="P44" s="144">
        <f>ASISTENCIA!AT45</f>
        <v>0</v>
      </c>
      <c r="Q44" s="166"/>
      <c r="R44" s="144">
        <f>ASISTENCIA!AW45</f>
        <v>0</v>
      </c>
      <c r="S44" s="166"/>
      <c r="T44" s="144"/>
      <c r="U44" s="144"/>
      <c r="V44" s="166"/>
      <c r="W44" s="144"/>
      <c r="X44" s="166"/>
      <c r="Y44" s="173"/>
      <c r="Z44" s="200"/>
      <c r="AA44" s="200"/>
      <c r="AB44" s="200"/>
      <c r="AC44" s="200"/>
      <c r="AD44" s="200"/>
      <c r="AE44" s="200"/>
      <c r="AF44" s="200"/>
      <c r="AG44" s="201"/>
      <c r="AH44" s="136"/>
      <c r="AI44" s="156"/>
      <c r="AJ44" s="157"/>
      <c r="AK44" s="157"/>
      <c r="AL44" s="157"/>
      <c r="AM44" s="157"/>
    </row>
    <row r="45" ht="15.75" customHeight="1">
      <c r="A45" s="132">
        <v>33.0</v>
      </c>
      <c r="B45" s="132"/>
      <c r="C45" s="134"/>
      <c r="D45" s="158"/>
      <c r="E45" s="136"/>
      <c r="F45" s="159"/>
      <c r="G45" s="159"/>
      <c r="H45" s="144"/>
      <c r="I45" s="143"/>
      <c r="J45" s="164" t="str">
        <f>ASISTENCIA!AQ46</f>
        <v/>
      </c>
      <c r="K45" s="143"/>
      <c r="L45" s="144" t="str">
        <f>ASISTENCIA!AR46</f>
        <v/>
      </c>
      <c r="M45" s="144" t="str">
        <f>ASISTENCIA!AS46</f>
        <v/>
      </c>
      <c r="N45" s="144" t="str">
        <f>ASISTENCIA!AU46</f>
        <v/>
      </c>
      <c r="O45" s="143"/>
      <c r="P45" s="144" t="str">
        <f>ASISTENCIA!AT46</f>
        <v/>
      </c>
      <c r="Q45" s="166"/>
      <c r="R45" s="144" t="str">
        <f>ASISTENCIA!AW46</f>
        <v/>
      </c>
      <c r="S45" s="166"/>
      <c r="T45" s="144"/>
      <c r="U45" s="144"/>
      <c r="V45" s="166"/>
      <c r="W45" s="144"/>
      <c r="X45" s="166"/>
      <c r="Y45" s="173"/>
      <c r="Z45" s="200"/>
      <c r="AA45" s="200"/>
      <c r="AB45" s="200"/>
      <c r="AC45" s="200"/>
      <c r="AD45" s="200"/>
      <c r="AE45" s="200"/>
      <c r="AF45" s="200"/>
      <c r="AG45" s="201"/>
      <c r="AH45" s="136"/>
      <c r="AI45" s="156"/>
      <c r="AJ45" s="157"/>
      <c r="AK45" s="157"/>
      <c r="AL45" s="157"/>
      <c r="AM45" s="157"/>
    </row>
    <row r="46" ht="15.75" customHeight="1">
      <c r="A46" s="132">
        <v>34.0</v>
      </c>
      <c r="B46" s="132" t="str">
        <f>IF(LEN(C46)&gt;0,VLOOKUP($F$6,DATA!$A:$S,2,FALSE),"")</f>
        <v/>
      </c>
      <c r="C46" s="134" t="str">
        <f t="shared" ref="C46:C47" si="6">IF(LEN(E46)&gt;0,$G$5,"")</f>
        <v/>
      </c>
      <c r="D46" s="158" t="str">
        <f>IF(+ASISTENCIA!D45="","",ASISTENCIA!D45)</f>
        <v/>
      </c>
      <c r="E46" s="136" t="str">
        <f>IF(+ASISTENCIA!E45="","",ASISTENCIA!E45)</f>
        <v/>
      </c>
      <c r="F46" s="159" t="str">
        <f>IF(+ASISTENCIA!F45="","",ASISTENCIA!F45)</f>
        <v/>
      </c>
      <c r="G46" s="159" t="str">
        <f>IF(+ASISTENCIA!G45="","",ASISTENCIA!G45)</f>
        <v/>
      </c>
      <c r="H46" s="144" t="str">
        <f>IF(+ASISTENCIA!H45="","",ASISTENCIA!H45)</f>
        <v/>
      </c>
      <c r="I46" s="143"/>
      <c r="J46" s="164" t="str">
        <f>ASISTENCIA!AQ47</f>
        <v/>
      </c>
      <c r="K46" s="143"/>
      <c r="L46" s="144" t="str">
        <f>ASISTENCIA!AR47</f>
        <v/>
      </c>
      <c r="M46" s="144" t="str">
        <f>ASISTENCIA!AS47</f>
        <v/>
      </c>
      <c r="N46" s="144" t="str">
        <f>ASISTENCIA!AU47</f>
        <v/>
      </c>
      <c r="O46" s="143"/>
      <c r="P46" s="144" t="str">
        <f>ASISTENCIA!AT47</f>
        <v/>
      </c>
      <c r="Q46" s="166"/>
      <c r="R46" s="144" t="str">
        <f>ASISTENCIA!AW47</f>
        <v/>
      </c>
      <c r="S46" s="166"/>
      <c r="T46" s="144"/>
      <c r="U46" s="144"/>
      <c r="V46" s="166"/>
      <c r="W46" s="144"/>
      <c r="X46" s="166"/>
      <c r="Y46" s="173"/>
      <c r="Z46" s="44"/>
      <c r="AA46" s="44"/>
      <c r="AB46" s="44"/>
      <c r="AC46" s="44"/>
      <c r="AD46" s="44"/>
      <c r="AE46" s="44"/>
      <c r="AF46" s="44"/>
      <c r="AG46" s="45"/>
      <c r="AH46" s="136"/>
      <c r="AI46" s="156"/>
      <c r="AJ46" s="157"/>
      <c r="AK46" s="157"/>
      <c r="AL46" s="157"/>
      <c r="AM46" s="157"/>
    </row>
    <row r="47" ht="15.75" customHeight="1">
      <c r="A47" s="132">
        <v>35.0</v>
      </c>
      <c r="B47" s="132" t="str">
        <f>IF(LEN(C47)&gt;0,VLOOKUP($F$6,DATA!$A:$S,2,FALSE),"")</f>
        <v/>
      </c>
      <c r="C47" s="134" t="str">
        <f t="shared" si="6"/>
        <v/>
      </c>
      <c r="D47" s="158" t="str">
        <f>IF(+ASISTENCIA!D48="","",ASISTENCIA!D48)</f>
        <v/>
      </c>
      <c r="E47" s="136" t="str">
        <f>IF(+ASISTENCIA!E48="","",ASISTENCIA!E48)</f>
        <v/>
      </c>
      <c r="F47" s="159" t="str">
        <f>IF(+ASISTENCIA!F48="","",ASISTENCIA!F48)</f>
        <v/>
      </c>
      <c r="G47" s="159" t="str">
        <f>IF(+ASISTENCIA!G48="","",ASISTENCIA!G48)</f>
        <v/>
      </c>
      <c r="H47" s="144" t="str">
        <f>IF(+ASISTENCIA!H48="","",ASISTENCIA!H48)</f>
        <v/>
      </c>
      <c r="I47" s="143"/>
      <c r="J47" s="164">
        <f>ASISTENCIA!AQ48</f>
        <v>0</v>
      </c>
      <c r="K47" s="143"/>
      <c r="L47" s="144">
        <f>ASISTENCIA!AR48</f>
        <v>0</v>
      </c>
      <c r="M47" s="144">
        <f>ASISTENCIA!AS48</f>
        <v>0</v>
      </c>
      <c r="N47" s="144">
        <f>ASISTENCIA!AU48</f>
        <v>0</v>
      </c>
      <c r="O47" s="143"/>
      <c r="P47" s="144">
        <f>ASISTENCIA!AT48</f>
        <v>0</v>
      </c>
      <c r="Q47" s="166"/>
      <c r="R47" s="144">
        <f>ASISTENCIA!AW48</f>
        <v>0</v>
      </c>
      <c r="S47" s="166"/>
      <c r="T47" s="144"/>
      <c r="U47" s="144"/>
      <c r="V47" s="166"/>
      <c r="W47" s="144"/>
      <c r="X47" s="166"/>
      <c r="Y47" s="173"/>
      <c r="Z47" s="44"/>
      <c r="AA47" s="44"/>
      <c r="AB47" s="44"/>
      <c r="AC47" s="44"/>
      <c r="AD47" s="44"/>
      <c r="AE47" s="44"/>
      <c r="AF47" s="44"/>
      <c r="AG47" s="45"/>
      <c r="AH47" s="136"/>
      <c r="AI47" s="156"/>
      <c r="AJ47" s="157"/>
      <c r="AK47" s="157"/>
      <c r="AL47" s="157"/>
      <c r="AM47" s="157"/>
    </row>
    <row r="48" ht="14.25" customHeight="1">
      <c r="A48" s="206" t="s">
        <v>1135</v>
      </c>
      <c r="B48" s="72"/>
      <c r="C48" s="10"/>
      <c r="D48" s="10"/>
      <c r="E48" s="10"/>
      <c r="F48" s="207"/>
      <c r="G48" s="10"/>
      <c r="H48" s="10"/>
      <c r="I48" s="10"/>
      <c r="J48" s="10"/>
      <c r="K48" s="10"/>
      <c r="L48" s="10"/>
      <c r="M48" s="10"/>
      <c r="N48" s="10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4"/>
      <c r="AA48" s="188"/>
      <c r="AB48" s="188"/>
      <c r="AC48" s="188"/>
      <c r="AD48" s="188"/>
      <c r="AE48" s="188"/>
      <c r="AF48" s="188"/>
      <c r="AG48" s="188"/>
      <c r="AH48" s="10"/>
      <c r="AI48" s="10"/>
      <c r="AJ48" s="10"/>
      <c r="AK48" s="10"/>
      <c r="AL48" s="10"/>
      <c r="AM48" s="10"/>
    </row>
    <row r="49" ht="14.25" customHeight="1">
      <c r="A49" s="208" t="s">
        <v>1136</v>
      </c>
      <c r="B49" s="72"/>
      <c r="C49" s="209"/>
      <c r="D49" s="210"/>
      <c r="E49" s="210"/>
      <c r="F49" s="75"/>
      <c r="G49" s="10"/>
      <c r="H49" s="10"/>
      <c r="I49" s="10"/>
      <c r="J49" s="10"/>
      <c r="K49" s="10"/>
      <c r="L49" s="10"/>
      <c r="M49" s="10"/>
      <c r="N49" s="10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57"/>
      <c r="AI49" s="196"/>
      <c r="AJ49" s="157"/>
      <c r="AK49" s="157"/>
      <c r="AL49" s="157"/>
      <c r="AM49" s="157"/>
    </row>
    <row r="50" ht="14.25" customHeight="1">
      <c r="A50" s="211"/>
      <c r="B50" s="72"/>
      <c r="C50" s="212"/>
      <c r="D50" s="210"/>
      <c r="E50" s="210"/>
      <c r="F50" s="207"/>
      <c r="G50" s="10"/>
      <c r="H50" s="10"/>
      <c r="I50" s="10"/>
      <c r="J50" s="10"/>
      <c r="K50" s="10"/>
      <c r="L50" s="10"/>
      <c r="M50" s="10"/>
      <c r="N50" s="10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72"/>
      <c r="AI50" s="196" t="s">
        <v>1137</v>
      </c>
      <c r="AJ50" s="157"/>
      <c r="AK50" s="157"/>
      <c r="AL50" s="157"/>
      <c r="AM50" s="157"/>
    </row>
    <row r="51" ht="14.25" customHeight="1">
      <c r="A51" s="211"/>
      <c r="B51" s="72"/>
      <c r="C51" s="213"/>
      <c r="D51" s="210"/>
      <c r="E51" s="210"/>
      <c r="F51" s="207"/>
      <c r="G51" s="10"/>
      <c r="H51" s="10"/>
      <c r="I51" s="10"/>
      <c r="J51" s="10"/>
      <c r="K51" s="10"/>
      <c r="L51" s="10"/>
      <c r="M51" s="10"/>
      <c r="N51" s="10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72"/>
      <c r="AI51" s="196" t="s">
        <v>1138</v>
      </c>
      <c r="AJ51" s="157"/>
      <c r="AK51" s="157"/>
      <c r="AL51" s="157"/>
      <c r="AM51" s="157"/>
    </row>
    <row r="52" ht="14.25" customHeight="1">
      <c r="A52" s="211"/>
      <c r="B52" s="72"/>
      <c r="C52" s="214"/>
      <c r="D52" s="210"/>
      <c r="E52" s="210"/>
      <c r="F52" s="207"/>
      <c r="G52" s="10"/>
      <c r="H52" s="10"/>
      <c r="I52" s="10"/>
      <c r="J52" s="10"/>
      <c r="K52" s="10"/>
      <c r="L52" s="10"/>
      <c r="M52" s="10"/>
      <c r="N52" s="10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72"/>
      <c r="AI52" s="196" t="s">
        <v>1121</v>
      </c>
      <c r="AJ52" s="157"/>
      <c r="AK52" s="157"/>
      <c r="AL52" s="157"/>
      <c r="AM52" s="157"/>
    </row>
    <row r="53" ht="14.25" customHeight="1">
      <c r="A53" s="211"/>
      <c r="B53" s="72"/>
      <c r="C53" s="215"/>
      <c r="D53" s="210"/>
      <c r="E53" s="210"/>
      <c r="F53" s="207"/>
      <c r="G53" s="10"/>
      <c r="H53" s="10"/>
      <c r="I53" s="10"/>
      <c r="J53" s="10"/>
      <c r="K53" s="10"/>
      <c r="L53" s="10"/>
      <c r="M53" s="10"/>
      <c r="N53" s="10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0"/>
      <c r="AI53" s="10"/>
      <c r="AJ53" s="10"/>
      <c r="AK53" s="10"/>
      <c r="AL53" s="10"/>
      <c r="AM53" s="10"/>
    </row>
    <row r="54" ht="14.25" customHeight="1">
      <c r="A54" s="211"/>
      <c r="B54" s="72"/>
      <c r="C54" s="10"/>
      <c r="D54" s="210"/>
      <c r="E54" s="210"/>
      <c r="F54" s="207"/>
      <c r="G54" s="10"/>
      <c r="H54" s="10"/>
      <c r="I54" s="10"/>
      <c r="J54" s="10"/>
      <c r="K54" s="10"/>
      <c r="L54" s="10"/>
      <c r="M54" s="10"/>
      <c r="N54" s="10"/>
      <c r="O54" s="199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8"/>
      <c r="AB54" s="188"/>
      <c r="AC54" s="188"/>
      <c r="AD54" s="188"/>
      <c r="AE54" s="188"/>
      <c r="AF54" s="188"/>
      <c r="AG54" s="188"/>
      <c r="AH54" s="10"/>
      <c r="AI54" s="10"/>
      <c r="AJ54" s="10"/>
      <c r="AK54" s="10"/>
      <c r="AL54" s="10"/>
      <c r="AM54" s="10"/>
    </row>
    <row r="55" ht="14.25" customHeight="1">
      <c r="A55" s="211"/>
      <c r="B55" s="72"/>
      <c r="C55" s="10"/>
      <c r="D55" s="210"/>
      <c r="E55" s="210"/>
      <c r="F55" s="207"/>
      <c r="G55" s="10"/>
      <c r="H55" s="10"/>
      <c r="I55" s="10"/>
      <c r="J55" s="10"/>
      <c r="K55" s="10"/>
      <c r="L55" s="10"/>
      <c r="M55" s="10"/>
      <c r="N55" s="10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0"/>
      <c r="AI55" s="10"/>
      <c r="AJ55" s="10"/>
      <c r="AK55" s="10"/>
      <c r="AL55" s="10"/>
      <c r="AM55" s="10"/>
    </row>
    <row r="56" ht="14.25" customHeight="1">
      <c r="A56" s="211"/>
      <c r="B56" s="10"/>
      <c r="C56" s="10"/>
      <c r="D56" s="210"/>
      <c r="E56" s="210"/>
      <c r="F56" s="207"/>
      <c r="G56" s="10"/>
      <c r="H56" s="10"/>
      <c r="I56" s="10"/>
      <c r="J56" s="10"/>
      <c r="K56" s="10"/>
      <c r="L56" s="10"/>
      <c r="M56" s="10"/>
      <c r="N56" s="10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0"/>
      <c r="AI56" s="10"/>
      <c r="AJ56" s="10"/>
      <c r="AK56" s="10"/>
      <c r="AL56" s="10"/>
      <c r="AM56" s="10"/>
    </row>
    <row r="57" ht="12.75" customHeight="1">
      <c r="A57" s="10"/>
      <c r="B57" s="10"/>
      <c r="C57" s="10"/>
      <c r="D57" s="10"/>
      <c r="E57" s="10"/>
      <c r="F57" s="207"/>
      <c r="G57" s="10"/>
      <c r="H57" s="10"/>
      <c r="I57" s="10"/>
      <c r="J57" s="10"/>
      <c r="K57" s="10"/>
      <c r="L57" s="10"/>
      <c r="M57" s="10"/>
      <c r="N57" s="10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0"/>
      <c r="AI57" s="10"/>
      <c r="AJ57" s="10"/>
      <c r="AK57" s="10"/>
      <c r="AL57" s="10"/>
      <c r="AM57" s="10"/>
    </row>
    <row r="58" ht="12.75" customHeight="1">
      <c r="A58" s="10"/>
      <c r="B58" s="10"/>
      <c r="C58" s="10"/>
      <c r="D58" s="10"/>
      <c r="E58" s="10"/>
      <c r="F58" s="207"/>
      <c r="G58" s="10"/>
      <c r="H58" s="10"/>
      <c r="I58" s="10"/>
      <c r="J58" s="10"/>
      <c r="K58" s="10"/>
      <c r="L58" s="10"/>
      <c r="M58" s="10"/>
      <c r="N58" s="10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0"/>
      <c r="AI58" s="10"/>
      <c r="AJ58" s="10"/>
      <c r="AK58" s="10"/>
      <c r="AL58" s="10"/>
      <c r="AM58" s="10"/>
    </row>
    <row r="59" ht="12.75" customHeight="1">
      <c r="A59" s="10"/>
      <c r="B59" s="10"/>
      <c r="C59" s="10"/>
      <c r="D59" s="10"/>
      <c r="E59" s="10"/>
      <c r="F59" s="207"/>
      <c r="G59" s="10"/>
      <c r="H59" s="10"/>
      <c r="I59" s="10"/>
      <c r="J59" s="10"/>
      <c r="K59" s="10"/>
      <c r="L59" s="10"/>
      <c r="M59" s="10"/>
      <c r="N59" s="10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0"/>
      <c r="AI59" s="10"/>
      <c r="AJ59" s="10"/>
      <c r="AK59" s="10"/>
      <c r="AL59" s="10"/>
      <c r="AM59" s="10"/>
    </row>
    <row r="60" ht="12.75" customHeight="1">
      <c r="A60" s="10"/>
      <c r="B60" s="10"/>
      <c r="C60" s="10"/>
      <c r="D60" s="10"/>
      <c r="E60" s="10"/>
      <c r="F60" s="207"/>
      <c r="G60" s="10"/>
      <c r="H60" s="10"/>
      <c r="I60" s="10"/>
      <c r="J60" s="10"/>
      <c r="K60" s="10"/>
      <c r="L60" s="10"/>
      <c r="M60" s="10"/>
      <c r="N60" s="10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0"/>
      <c r="AI60" s="10"/>
      <c r="AJ60" s="10"/>
      <c r="AK60" s="10"/>
      <c r="AL60" s="10"/>
      <c r="AM60" s="10"/>
    </row>
    <row r="61" ht="12.75" customHeight="1">
      <c r="A61" s="10"/>
      <c r="B61" s="10"/>
      <c r="C61" s="10"/>
      <c r="D61" s="10"/>
      <c r="E61" s="10"/>
      <c r="F61" s="207"/>
      <c r="G61" s="10"/>
      <c r="H61" s="10"/>
      <c r="I61" s="10"/>
      <c r="J61" s="10"/>
      <c r="K61" s="10"/>
      <c r="L61" s="10"/>
      <c r="M61" s="10"/>
      <c r="N61" s="10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0"/>
      <c r="AI61" s="10"/>
      <c r="AJ61" s="10"/>
      <c r="AK61" s="10"/>
      <c r="AL61" s="10"/>
      <c r="AM61" s="10"/>
    </row>
    <row r="62" ht="12.75" customHeight="1">
      <c r="A62" s="10"/>
      <c r="B62" s="10"/>
      <c r="C62" s="10"/>
      <c r="D62" s="10"/>
      <c r="E62" s="10"/>
      <c r="F62" s="207"/>
      <c r="G62" s="10"/>
      <c r="H62" s="10"/>
      <c r="I62" s="10"/>
      <c r="J62" s="10"/>
      <c r="K62" s="10"/>
      <c r="L62" s="10"/>
      <c r="M62" s="10"/>
      <c r="N62" s="10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0"/>
      <c r="AI62" s="10"/>
      <c r="AJ62" s="10"/>
      <c r="AK62" s="10"/>
      <c r="AL62" s="10"/>
      <c r="AM62" s="10"/>
    </row>
    <row r="63" ht="12.75" customHeight="1">
      <c r="A63" s="10"/>
      <c r="B63" s="10"/>
      <c r="C63" s="10"/>
      <c r="D63" s="10"/>
      <c r="E63" s="10"/>
      <c r="F63" s="207"/>
      <c r="G63" s="10"/>
      <c r="H63" s="10"/>
      <c r="I63" s="10"/>
      <c r="J63" s="10"/>
      <c r="K63" s="10"/>
      <c r="L63" s="10"/>
      <c r="M63" s="10"/>
      <c r="N63" s="10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0"/>
      <c r="AI63" s="10"/>
      <c r="AJ63" s="10"/>
      <c r="AK63" s="10"/>
      <c r="AL63" s="10"/>
      <c r="AM63" s="10"/>
    </row>
    <row r="64" ht="12.75" customHeight="1">
      <c r="A64" s="10"/>
      <c r="B64" s="10"/>
      <c r="C64" s="10"/>
      <c r="D64" s="10"/>
      <c r="E64" s="10"/>
      <c r="F64" s="207"/>
      <c r="G64" s="10"/>
      <c r="H64" s="10"/>
      <c r="I64" s="10"/>
      <c r="J64" s="10"/>
      <c r="K64" s="10"/>
      <c r="L64" s="10"/>
      <c r="M64" s="10"/>
      <c r="N64" s="10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0"/>
      <c r="AI64" s="10"/>
      <c r="AJ64" s="10"/>
      <c r="AK64" s="10"/>
      <c r="AL64" s="10"/>
      <c r="AM64" s="10"/>
    </row>
    <row r="65" ht="12.75" customHeight="1">
      <c r="A65" s="10"/>
      <c r="B65" s="10"/>
      <c r="C65" s="10"/>
      <c r="D65" s="10"/>
      <c r="E65" s="10"/>
      <c r="F65" s="207"/>
      <c r="G65" s="10"/>
      <c r="H65" s="10"/>
      <c r="I65" s="10"/>
      <c r="J65" s="10"/>
      <c r="K65" s="10"/>
      <c r="L65" s="10"/>
      <c r="M65" s="10"/>
      <c r="N65" s="10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0"/>
      <c r="AI65" s="10"/>
      <c r="AJ65" s="10"/>
      <c r="AK65" s="10"/>
      <c r="AL65" s="10"/>
      <c r="AM65" s="10"/>
    </row>
    <row r="66" ht="12.75" customHeight="1">
      <c r="A66" s="10"/>
      <c r="B66" s="10"/>
      <c r="C66" s="10"/>
      <c r="D66" s="10"/>
      <c r="E66" s="10"/>
      <c r="F66" s="207"/>
      <c r="G66" s="10"/>
      <c r="H66" s="10"/>
      <c r="I66" s="10"/>
      <c r="J66" s="10"/>
      <c r="K66" s="10"/>
      <c r="L66" s="10"/>
      <c r="M66" s="10"/>
      <c r="N66" s="10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0"/>
      <c r="AI66" s="10"/>
      <c r="AJ66" s="10"/>
      <c r="AK66" s="10"/>
      <c r="AL66" s="10"/>
      <c r="AM66" s="10"/>
    </row>
    <row r="67" ht="12.75" customHeight="1">
      <c r="A67" s="10"/>
      <c r="B67" s="10"/>
      <c r="C67" s="10"/>
      <c r="D67" s="10"/>
      <c r="E67" s="10"/>
      <c r="F67" s="207"/>
      <c r="G67" s="10"/>
      <c r="H67" s="10"/>
      <c r="I67" s="10"/>
      <c r="J67" s="10"/>
      <c r="K67" s="10"/>
      <c r="L67" s="10"/>
      <c r="M67" s="10"/>
      <c r="N67" s="10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0"/>
      <c r="AI67" s="10"/>
      <c r="AJ67" s="10"/>
      <c r="AK67" s="10"/>
      <c r="AL67" s="10"/>
      <c r="AM67" s="10"/>
    </row>
    <row r="68" ht="12.75" customHeight="1">
      <c r="A68" s="10"/>
      <c r="B68" s="10"/>
      <c r="C68" s="10"/>
      <c r="D68" s="10"/>
      <c r="E68" s="10"/>
      <c r="F68" s="207"/>
      <c r="G68" s="10"/>
      <c r="H68" s="10"/>
      <c r="I68" s="10"/>
      <c r="J68" s="10"/>
      <c r="K68" s="10"/>
      <c r="L68" s="10"/>
      <c r="M68" s="10"/>
      <c r="N68" s="10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0"/>
      <c r="AI68" s="10"/>
      <c r="AJ68" s="10"/>
      <c r="AK68" s="10"/>
      <c r="AL68" s="10"/>
      <c r="AM68" s="10"/>
    </row>
    <row r="69" ht="12.75" customHeight="1">
      <c r="A69" s="10"/>
      <c r="B69" s="10"/>
      <c r="C69" s="10"/>
      <c r="D69" s="10"/>
      <c r="E69" s="10"/>
      <c r="F69" s="207"/>
      <c r="G69" s="10"/>
      <c r="H69" s="10"/>
      <c r="I69" s="10"/>
      <c r="J69" s="10"/>
      <c r="K69" s="10"/>
      <c r="L69" s="10"/>
      <c r="M69" s="10"/>
      <c r="N69" s="10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0"/>
      <c r="AI69" s="10"/>
      <c r="AJ69" s="10"/>
      <c r="AK69" s="10"/>
      <c r="AL69" s="10"/>
      <c r="AM69" s="10"/>
    </row>
    <row r="70" ht="12.75" customHeight="1">
      <c r="A70" s="10"/>
      <c r="B70" s="10"/>
      <c r="C70" s="10"/>
      <c r="D70" s="10"/>
      <c r="E70" s="10"/>
      <c r="F70" s="207"/>
      <c r="G70" s="10"/>
      <c r="H70" s="10"/>
      <c r="I70" s="10"/>
      <c r="J70" s="10"/>
      <c r="K70" s="10"/>
      <c r="L70" s="10"/>
      <c r="M70" s="10"/>
      <c r="N70" s="10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0"/>
      <c r="AI70" s="10"/>
      <c r="AJ70" s="10"/>
      <c r="AK70" s="10"/>
      <c r="AL70" s="10"/>
      <c r="AM70" s="10"/>
    </row>
    <row r="71" ht="12.75" customHeight="1">
      <c r="A71" s="10"/>
      <c r="B71" s="10"/>
      <c r="C71" s="10"/>
      <c r="D71" s="10"/>
      <c r="E71" s="10"/>
      <c r="F71" s="207"/>
      <c r="G71" s="10"/>
      <c r="H71" s="10"/>
      <c r="I71" s="10"/>
      <c r="J71" s="10"/>
      <c r="K71" s="10"/>
      <c r="L71" s="10"/>
      <c r="M71" s="10"/>
      <c r="N71" s="10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0"/>
      <c r="AI71" s="10"/>
      <c r="AJ71" s="10"/>
      <c r="AK71" s="10"/>
      <c r="AL71" s="10"/>
      <c r="AM71" s="10"/>
    </row>
    <row r="72" ht="12.75" customHeight="1">
      <c r="A72" s="10"/>
      <c r="B72" s="10"/>
      <c r="C72" s="10"/>
      <c r="D72" s="10"/>
      <c r="E72" s="10"/>
      <c r="F72" s="207"/>
      <c r="G72" s="10"/>
      <c r="H72" s="10"/>
      <c r="I72" s="10"/>
      <c r="J72" s="10"/>
      <c r="K72" s="10"/>
      <c r="L72" s="10"/>
      <c r="M72" s="10"/>
      <c r="N72" s="10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0"/>
      <c r="AI72" s="10"/>
      <c r="AJ72" s="10"/>
      <c r="AK72" s="10"/>
      <c r="AL72" s="10"/>
      <c r="AM72" s="10"/>
    </row>
    <row r="73" ht="12.75" customHeight="1">
      <c r="A73" s="10"/>
      <c r="B73" s="10"/>
      <c r="C73" s="10"/>
      <c r="D73" s="10"/>
      <c r="E73" s="10"/>
      <c r="F73" s="207"/>
      <c r="G73" s="10"/>
      <c r="H73" s="10"/>
      <c r="I73" s="10"/>
      <c r="J73" s="10"/>
      <c r="K73" s="10"/>
      <c r="L73" s="10"/>
      <c r="M73" s="10"/>
      <c r="N73" s="10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0"/>
      <c r="AI73" s="10"/>
      <c r="AJ73" s="10"/>
      <c r="AK73" s="10"/>
      <c r="AL73" s="10"/>
      <c r="AM73" s="10"/>
    </row>
    <row r="74" ht="12.75" customHeight="1">
      <c r="A74" s="10"/>
      <c r="B74" s="10"/>
      <c r="C74" s="10"/>
      <c r="D74" s="10"/>
      <c r="E74" s="10"/>
      <c r="F74" s="207"/>
      <c r="G74" s="10"/>
      <c r="H74" s="10"/>
      <c r="I74" s="10"/>
      <c r="J74" s="10"/>
      <c r="K74" s="10"/>
      <c r="L74" s="10"/>
      <c r="M74" s="10"/>
      <c r="N74" s="10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0"/>
      <c r="AI74" s="10"/>
      <c r="AJ74" s="10"/>
      <c r="AK74" s="10"/>
      <c r="AL74" s="10"/>
      <c r="AM74" s="10"/>
    </row>
    <row r="75" ht="12.75" customHeight="1">
      <c r="A75" s="10"/>
      <c r="B75" s="10"/>
      <c r="C75" s="10"/>
      <c r="D75" s="10"/>
      <c r="E75" s="10"/>
      <c r="F75" s="207"/>
      <c r="G75" s="10"/>
      <c r="H75" s="10"/>
      <c r="I75" s="10"/>
      <c r="J75" s="10"/>
      <c r="K75" s="10"/>
      <c r="L75" s="10"/>
      <c r="M75" s="10"/>
      <c r="N75" s="10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0"/>
      <c r="AI75" s="10"/>
      <c r="AJ75" s="10"/>
      <c r="AK75" s="10"/>
      <c r="AL75" s="10"/>
      <c r="AM75" s="10"/>
    </row>
    <row r="76" ht="12.75" customHeight="1">
      <c r="A76" s="10"/>
      <c r="B76" s="10"/>
      <c r="C76" s="10"/>
      <c r="D76" s="10"/>
      <c r="E76" s="10"/>
      <c r="F76" s="207"/>
      <c r="G76" s="10"/>
      <c r="H76" s="10"/>
      <c r="I76" s="10"/>
      <c r="J76" s="10"/>
      <c r="K76" s="10"/>
      <c r="L76" s="10"/>
      <c r="M76" s="10"/>
      <c r="N76" s="10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0"/>
      <c r="AI76" s="10"/>
      <c r="AJ76" s="10"/>
      <c r="AK76" s="10"/>
      <c r="AL76" s="10"/>
      <c r="AM76" s="10"/>
    </row>
    <row r="77" ht="12.75" customHeight="1">
      <c r="A77" s="10"/>
      <c r="B77" s="10"/>
      <c r="C77" s="10"/>
      <c r="D77" s="10"/>
      <c r="E77" s="10"/>
      <c r="F77" s="207"/>
      <c r="G77" s="10"/>
      <c r="H77" s="10"/>
      <c r="I77" s="10"/>
      <c r="J77" s="10"/>
      <c r="K77" s="10"/>
      <c r="L77" s="10"/>
      <c r="M77" s="10"/>
      <c r="N77" s="10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0"/>
      <c r="AI77" s="10"/>
      <c r="AJ77" s="10"/>
      <c r="AK77" s="10"/>
      <c r="AL77" s="10"/>
      <c r="AM77" s="10"/>
    </row>
    <row r="78" ht="12.75" customHeight="1">
      <c r="A78" s="10"/>
      <c r="B78" s="10"/>
      <c r="C78" s="10"/>
      <c r="D78" s="10"/>
      <c r="E78" s="10"/>
      <c r="F78" s="207"/>
      <c r="G78" s="10"/>
      <c r="H78" s="10"/>
      <c r="I78" s="10"/>
      <c r="J78" s="10"/>
      <c r="K78" s="10"/>
      <c r="L78" s="10"/>
      <c r="M78" s="10"/>
      <c r="N78" s="10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0"/>
      <c r="AI78" s="10"/>
      <c r="AJ78" s="10"/>
      <c r="AK78" s="10"/>
      <c r="AL78" s="10"/>
      <c r="AM78" s="10"/>
    </row>
    <row r="79" ht="12.75" customHeight="1">
      <c r="A79" s="10"/>
      <c r="B79" s="10"/>
      <c r="C79" s="10"/>
      <c r="D79" s="10"/>
      <c r="E79" s="10"/>
      <c r="F79" s="207"/>
      <c r="G79" s="10"/>
      <c r="H79" s="10"/>
      <c r="I79" s="10"/>
      <c r="J79" s="10"/>
      <c r="K79" s="10"/>
      <c r="L79" s="10"/>
      <c r="M79" s="10"/>
      <c r="N79" s="10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0"/>
      <c r="AI79" s="10"/>
      <c r="AJ79" s="10"/>
      <c r="AK79" s="10"/>
      <c r="AL79" s="10"/>
      <c r="AM79" s="10"/>
    </row>
    <row r="80" ht="12.75" customHeight="1">
      <c r="A80" s="10"/>
      <c r="B80" s="10"/>
      <c r="C80" s="10"/>
      <c r="D80" s="10"/>
      <c r="E80" s="10"/>
      <c r="F80" s="207"/>
      <c r="G80" s="10"/>
      <c r="H80" s="10"/>
      <c r="I80" s="10"/>
      <c r="J80" s="10"/>
      <c r="K80" s="10"/>
      <c r="L80" s="10"/>
      <c r="M80" s="10"/>
      <c r="N80" s="10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0"/>
      <c r="AI80" s="10"/>
      <c r="AJ80" s="10"/>
      <c r="AK80" s="10"/>
      <c r="AL80" s="10"/>
      <c r="AM80" s="10"/>
    </row>
    <row r="81" ht="12.75" customHeight="1">
      <c r="A81" s="10"/>
      <c r="B81" s="10"/>
      <c r="C81" s="10"/>
      <c r="D81" s="10"/>
      <c r="E81" s="10"/>
      <c r="F81" s="207"/>
      <c r="G81" s="10"/>
      <c r="H81" s="10"/>
      <c r="I81" s="10"/>
      <c r="J81" s="10"/>
      <c r="K81" s="10"/>
      <c r="L81" s="10"/>
      <c r="M81" s="10"/>
      <c r="N81" s="10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0"/>
      <c r="AI81" s="10"/>
      <c r="AJ81" s="10"/>
      <c r="AK81" s="10"/>
      <c r="AL81" s="10"/>
      <c r="AM81" s="10"/>
    </row>
    <row r="82" ht="12.75" customHeight="1">
      <c r="A82" s="10"/>
      <c r="B82" s="10"/>
      <c r="C82" s="10"/>
      <c r="D82" s="10"/>
      <c r="E82" s="10"/>
      <c r="F82" s="207"/>
      <c r="G82" s="10"/>
      <c r="H82" s="10"/>
      <c r="I82" s="10"/>
      <c r="J82" s="10"/>
      <c r="K82" s="10"/>
      <c r="L82" s="10"/>
      <c r="M82" s="10"/>
      <c r="N82" s="10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0"/>
      <c r="AI82" s="10"/>
      <c r="AJ82" s="10"/>
      <c r="AK82" s="10"/>
      <c r="AL82" s="10"/>
      <c r="AM82" s="10"/>
    </row>
    <row r="83" ht="12.75" customHeight="1">
      <c r="A83" s="10"/>
      <c r="B83" s="10"/>
      <c r="C83" s="10"/>
      <c r="D83" s="10"/>
      <c r="E83" s="10"/>
      <c r="F83" s="207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 ht="12.75" customHeight="1">
      <c r="A84" s="10"/>
      <c r="B84" s="10"/>
      <c r="C84" s="10"/>
      <c r="D84" s="10"/>
      <c r="E84" s="10"/>
      <c r="F84" s="207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 ht="12.75" customHeight="1">
      <c r="A85" s="10"/>
      <c r="B85" s="10"/>
      <c r="C85" s="10"/>
      <c r="D85" s="10"/>
      <c r="E85" s="10"/>
      <c r="F85" s="207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 ht="12.75" customHeight="1">
      <c r="A86" s="10"/>
      <c r="B86" s="10"/>
      <c r="C86" s="10"/>
      <c r="D86" s="10"/>
      <c r="E86" s="10"/>
      <c r="F86" s="207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 ht="12.75" customHeight="1">
      <c r="A87" s="10"/>
      <c r="B87" s="10"/>
      <c r="C87" s="10"/>
      <c r="D87" s="10"/>
      <c r="E87" s="10"/>
      <c r="F87" s="207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 ht="12.75" customHeight="1">
      <c r="A88" s="10"/>
      <c r="B88" s="10"/>
      <c r="C88" s="10"/>
      <c r="D88" s="10"/>
      <c r="E88" s="10"/>
      <c r="F88" s="207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 ht="12.75" customHeight="1">
      <c r="A89" s="10"/>
      <c r="B89" s="10"/>
      <c r="C89" s="10"/>
      <c r="D89" s="10"/>
      <c r="E89" s="10"/>
      <c r="F89" s="207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 ht="12.75" customHeight="1">
      <c r="A90" s="10"/>
      <c r="B90" s="10"/>
      <c r="C90" s="10"/>
      <c r="D90" s="10"/>
      <c r="E90" s="10"/>
      <c r="F90" s="207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 ht="12.75" customHeight="1">
      <c r="A91" s="10"/>
      <c r="B91" s="10"/>
      <c r="C91" s="10"/>
      <c r="D91" s="10"/>
      <c r="E91" s="10"/>
      <c r="F91" s="207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 ht="12.75" customHeight="1">
      <c r="A92" s="10"/>
      <c r="B92" s="10"/>
      <c r="C92" s="10"/>
      <c r="D92" s="10"/>
      <c r="E92" s="10"/>
      <c r="F92" s="207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 ht="12.75" customHeight="1">
      <c r="A93" s="10"/>
      <c r="B93" s="10"/>
      <c r="C93" s="10"/>
      <c r="D93" s="10"/>
      <c r="E93" s="10"/>
      <c r="F93" s="207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 ht="12.75" customHeight="1">
      <c r="A94" s="10"/>
      <c r="B94" s="10"/>
      <c r="C94" s="10"/>
      <c r="D94" s="10"/>
      <c r="E94" s="10"/>
      <c r="F94" s="207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 ht="12.75" customHeight="1">
      <c r="A95" s="10"/>
      <c r="B95" s="10"/>
      <c r="C95" s="10"/>
      <c r="D95" s="10"/>
      <c r="E95" s="10"/>
      <c r="F95" s="207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 ht="12.75" customHeight="1">
      <c r="A96" s="10"/>
      <c r="B96" s="10"/>
      <c r="C96" s="10"/>
      <c r="D96" s="10"/>
      <c r="E96" s="10"/>
      <c r="F96" s="207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 ht="12.75" customHeight="1">
      <c r="A97" s="10"/>
      <c r="B97" s="10"/>
      <c r="C97" s="10"/>
      <c r="D97" s="10"/>
      <c r="E97" s="10"/>
      <c r="F97" s="207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 ht="12.75" customHeight="1">
      <c r="A98" s="10"/>
      <c r="B98" s="10"/>
      <c r="C98" s="10"/>
      <c r="D98" s="10"/>
      <c r="E98" s="10"/>
      <c r="F98" s="207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 ht="12.75" customHeight="1">
      <c r="A99" s="10"/>
      <c r="B99" s="10"/>
      <c r="C99" s="10"/>
      <c r="D99" s="10"/>
      <c r="E99" s="10"/>
      <c r="F99" s="207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 ht="12.75" customHeight="1">
      <c r="A100" s="10"/>
      <c r="B100" s="10"/>
      <c r="C100" s="10"/>
      <c r="D100" s="10"/>
      <c r="E100" s="10"/>
      <c r="F100" s="207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 ht="12.75" customHeight="1">
      <c r="A101" s="10"/>
      <c r="B101" s="10"/>
      <c r="C101" s="10"/>
      <c r="D101" s="10"/>
      <c r="E101" s="10"/>
      <c r="F101" s="207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 ht="12.75" customHeight="1">
      <c r="A102" s="10"/>
      <c r="B102" s="10"/>
      <c r="C102" s="10"/>
      <c r="D102" s="10"/>
      <c r="E102" s="10"/>
      <c r="F102" s="207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 ht="12.75" customHeight="1">
      <c r="A103" s="10"/>
      <c r="B103" s="10"/>
      <c r="C103" s="10"/>
      <c r="D103" s="10"/>
      <c r="E103" s="10"/>
      <c r="F103" s="207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 ht="12.75" customHeight="1">
      <c r="A104" s="10"/>
      <c r="B104" s="10"/>
      <c r="C104" s="10"/>
      <c r="D104" s="10"/>
      <c r="E104" s="10"/>
      <c r="F104" s="207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 ht="12.75" customHeight="1">
      <c r="A105" s="10"/>
      <c r="B105" s="10"/>
      <c r="C105" s="10"/>
      <c r="D105" s="10"/>
      <c r="E105" s="10"/>
      <c r="F105" s="207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 ht="12.75" customHeight="1">
      <c r="A106" s="10"/>
      <c r="B106" s="10"/>
      <c r="C106" s="10"/>
      <c r="D106" s="10"/>
      <c r="E106" s="10"/>
      <c r="F106" s="207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 ht="12.75" customHeight="1">
      <c r="A107" s="10"/>
      <c r="B107" s="10"/>
      <c r="C107" s="10"/>
      <c r="D107" s="10"/>
      <c r="E107" s="10"/>
      <c r="F107" s="207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</row>
    <row r="108" ht="12.75" customHeight="1">
      <c r="A108" s="10"/>
      <c r="B108" s="10"/>
      <c r="C108" s="10"/>
      <c r="D108" s="10"/>
      <c r="E108" s="10"/>
      <c r="F108" s="207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</row>
    <row r="109" ht="12.75" customHeight="1">
      <c r="A109" s="10"/>
      <c r="B109" s="10"/>
      <c r="C109" s="10"/>
      <c r="D109" s="10"/>
      <c r="E109" s="10"/>
      <c r="F109" s="207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</row>
    <row r="110" ht="12.75" customHeight="1">
      <c r="A110" s="10"/>
      <c r="B110" s="10"/>
      <c r="C110" s="10"/>
      <c r="D110" s="10"/>
      <c r="E110" s="10"/>
      <c r="F110" s="207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 ht="12.75" customHeight="1">
      <c r="A111" s="10"/>
      <c r="B111" s="10"/>
      <c r="C111" s="10"/>
      <c r="D111" s="10"/>
      <c r="E111" s="10"/>
      <c r="F111" s="207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</row>
    <row r="112" ht="12.75" customHeight="1">
      <c r="A112" s="10"/>
      <c r="B112" s="10"/>
      <c r="C112" s="10"/>
      <c r="D112" s="10"/>
      <c r="E112" s="10"/>
      <c r="F112" s="207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</row>
    <row r="113" ht="12.75" customHeight="1">
      <c r="A113" s="10"/>
      <c r="B113" s="10"/>
      <c r="C113" s="10"/>
      <c r="D113" s="10"/>
      <c r="E113" s="10"/>
      <c r="F113" s="207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</row>
    <row r="114" ht="12.75" customHeight="1">
      <c r="A114" s="10"/>
      <c r="B114" s="10"/>
      <c r="C114" s="10"/>
      <c r="D114" s="10"/>
      <c r="E114" s="10"/>
      <c r="F114" s="207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</row>
    <row r="115" ht="12.75" customHeight="1">
      <c r="A115" s="10"/>
      <c r="B115" s="10"/>
      <c r="C115" s="10"/>
      <c r="D115" s="10"/>
      <c r="E115" s="10"/>
      <c r="F115" s="207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</row>
    <row r="116" ht="12.75" customHeight="1">
      <c r="A116" s="10"/>
      <c r="B116" s="10"/>
      <c r="C116" s="10"/>
      <c r="D116" s="10"/>
      <c r="E116" s="10"/>
      <c r="F116" s="207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</row>
    <row r="117" ht="12.75" customHeight="1">
      <c r="A117" s="10"/>
      <c r="B117" s="10"/>
      <c r="C117" s="10"/>
      <c r="D117" s="10"/>
      <c r="E117" s="10"/>
      <c r="F117" s="207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</row>
    <row r="118" ht="12.75" customHeight="1">
      <c r="A118" s="10"/>
      <c r="B118" s="10"/>
      <c r="C118" s="10"/>
      <c r="D118" s="10"/>
      <c r="E118" s="10"/>
      <c r="F118" s="207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</row>
    <row r="119" ht="12.75" customHeight="1">
      <c r="A119" s="10"/>
      <c r="B119" s="10"/>
      <c r="C119" s="10"/>
      <c r="D119" s="10"/>
      <c r="E119" s="10"/>
      <c r="F119" s="207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</row>
    <row r="120" ht="12.75" customHeight="1">
      <c r="A120" s="10"/>
      <c r="B120" s="10"/>
      <c r="C120" s="10"/>
      <c r="D120" s="10"/>
      <c r="E120" s="10"/>
      <c r="F120" s="207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</row>
    <row r="121" ht="12.75" customHeight="1">
      <c r="A121" s="10"/>
      <c r="B121" s="10"/>
      <c r="C121" s="10"/>
      <c r="D121" s="10"/>
      <c r="E121" s="10"/>
      <c r="F121" s="207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 ht="12.75" customHeight="1">
      <c r="A122" s="10"/>
      <c r="B122" s="10"/>
      <c r="C122" s="10"/>
      <c r="D122" s="10"/>
      <c r="E122" s="10"/>
      <c r="F122" s="207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</row>
    <row r="123" ht="12.75" customHeight="1">
      <c r="A123" s="10"/>
      <c r="B123" s="10"/>
      <c r="C123" s="10"/>
      <c r="D123" s="10"/>
      <c r="E123" s="10"/>
      <c r="F123" s="207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</row>
    <row r="124" ht="12.75" customHeight="1">
      <c r="A124" s="10"/>
      <c r="B124" s="10"/>
      <c r="C124" s="10"/>
      <c r="D124" s="10"/>
      <c r="E124" s="10"/>
      <c r="F124" s="207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</row>
    <row r="125" ht="12.75" customHeight="1">
      <c r="A125" s="10"/>
      <c r="B125" s="10"/>
      <c r="C125" s="10"/>
      <c r="D125" s="10"/>
      <c r="E125" s="10"/>
      <c r="F125" s="207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</row>
    <row r="126" ht="12.75" customHeight="1">
      <c r="A126" s="10"/>
      <c r="B126" s="10"/>
      <c r="C126" s="10"/>
      <c r="D126" s="10"/>
      <c r="E126" s="10"/>
      <c r="F126" s="207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</row>
    <row r="127" ht="12.75" customHeight="1">
      <c r="A127" s="10"/>
      <c r="B127" s="10"/>
      <c r="C127" s="10"/>
      <c r="D127" s="10"/>
      <c r="E127" s="10"/>
      <c r="F127" s="207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</row>
    <row r="128" ht="12.75" customHeight="1">
      <c r="A128" s="10"/>
      <c r="B128" s="10"/>
      <c r="C128" s="10"/>
      <c r="D128" s="10"/>
      <c r="E128" s="10"/>
      <c r="F128" s="207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</row>
    <row r="129" ht="12.75" customHeight="1">
      <c r="A129" s="10"/>
      <c r="B129" s="10"/>
      <c r="C129" s="10"/>
      <c r="D129" s="10"/>
      <c r="E129" s="10"/>
      <c r="F129" s="207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 ht="12.75" customHeight="1">
      <c r="A130" s="10"/>
      <c r="B130" s="10"/>
      <c r="C130" s="10"/>
      <c r="D130" s="10"/>
      <c r="E130" s="10"/>
      <c r="F130" s="207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 ht="12.75" customHeight="1">
      <c r="A131" s="10"/>
      <c r="B131" s="10"/>
      <c r="C131" s="10"/>
      <c r="D131" s="10"/>
      <c r="E131" s="10"/>
      <c r="F131" s="207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 ht="12.75" customHeight="1">
      <c r="A132" s="10"/>
      <c r="B132" s="10"/>
      <c r="C132" s="10"/>
      <c r="D132" s="10"/>
      <c r="E132" s="10"/>
      <c r="F132" s="207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 ht="12.75" customHeight="1">
      <c r="A133" s="10"/>
      <c r="B133" s="10"/>
      <c r="C133" s="10"/>
      <c r="D133" s="10"/>
      <c r="E133" s="10"/>
      <c r="F133" s="207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 ht="12.75" customHeight="1">
      <c r="A134" s="10"/>
      <c r="B134" s="10"/>
      <c r="C134" s="10"/>
      <c r="D134" s="10"/>
      <c r="E134" s="10"/>
      <c r="F134" s="207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 ht="12.75" customHeight="1">
      <c r="A135" s="10"/>
      <c r="B135" s="10"/>
      <c r="C135" s="10"/>
      <c r="D135" s="10"/>
      <c r="E135" s="10"/>
      <c r="F135" s="207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 ht="12.75" customHeight="1">
      <c r="A136" s="10"/>
      <c r="B136" s="10"/>
      <c r="C136" s="10"/>
      <c r="D136" s="10"/>
      <c r="E136" s="10"/>
      <c r="F136" s="207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 ht="12.75" customHeight="1">
      <c r="A137" s="10"/>
      <c r="B137" s="10"/>
      <c r="C137" s="10"/>
      <c r="D137" s="10"/>
      <c r="E137" s="10"/>
      <c r="F137" s="207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 ht="12.75" customHeight="1">
      <c r="A138" s="10"/>
      <c r="B138" s="10"/>
      <c r="C138" s="10"/>
      <c r="D138" s="10"/>
      <c r="E138" s="10"/>
      <c r="F138" s="207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 ht="12.75" customHeight="1">
      <c r="A139" s="10"/>
      <c r="B139" s="10"/>
      <c r="C139" s="10"/>
      <c r="D139" s="10"/>
      <c r="E139" s="10"/>
      <c r="F139" s="207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 ht="12.75" customHeight="1">
      <c r="A140" s="10"/>
      <c r="B140" s="10"/>
      <c r="C140" s="10"/>
      <c r="D140" s="10"/>
      <c r="E140" s="10"/>
      <c r="F140" s="207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 ht="12.75" customHeight="1">
      <c r="A141" s="10"/>
      <c r="B141" s="10"/>
      <c r="C141" s="10"/>
      <c r="D141" s="10"/>
      <c r="E141" s="10"/>
      <c r="F141" s="207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 ht="12.75" customHeight="1">
      <c r="A142" s="10"/>
      <c r="B142" s="10"/>
      <c r="C142" s="10"/>
      <c r="D142" s="10"/>
      <c r="E142" s="10"/>
      <c r="F142" s="207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 ht="12.75" customHeight="1">
      <c r="A143" s="10"/>
      <c r="B143" s="10"/>
      <c r="C143" s="10"/>
      <c r="D143" s="10"/>
      <c r="E143" s="10"/>
      <c r="F143" s="207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 ht="12.75" customHeight="1">
      <c r="A144" s="10"/>
      <c r="B144" s="10"/>
      <c r="C144" s="10"/>
      <c r="D144" s="10"/>
      <c r="E144" s="10"/>
      <c r="F144" s="207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 ht="12.75" customHeight="1">
      <c r="A145" s="10"/>
      <c r="B145" s="10"/>
      <c r="C145" s="10"/>
      <c r="D145" s="10"/>
      <c r="E145" s="10"/>
      <c r="F145" s="207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 ht="12.75" customHeight="1">
      <c r="A146" s="10"/>
      <c r="B146" s="10"/>
      <c r="C146" s="10"/>
      <c r="D146" s="10"/>
      <c r="E146" s="10"/>
      <c r="F146" s="207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 ht="12.75" customHeight="1">
      <c r="A147" s="10"/>
      <c r="B147" s="10"/>
      <c r="C147" s="10"/>
      <c r="D147" s="10"/>
      <c r="E147" s="10"/>
      <c r="F147" s="207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 ht="12.75" customHeight="1">
      <c r="A148" s="10"/>
      <c r="B148" s="10"/>
      <c r="C148" s="10"/>
      <c r="D148" s="10"/>
      <c r="E148" s="10"/>
      <c r="F148" s="207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 ht="12.75" customHeight="1">
      <c r="A149" s="10"/>
      <c r="B149" s="10"/>
      <c r="C149" s="10"/>
      <c r="D149" s="10"/>
      <c r="E149" s="10"/>
      <c r="F149" s="207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 ht="12.75" customHeight="1">
      <c r="A150" s="10"/>
      <c r="B150" s="10"/>
      <c r="C150" s="10"/>
      <c r="D150" s="10"/>
      <c r="E150" s="10"/>
      <c r="F150" s="207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 ht="12.75" customHeight="1">
      <c r="A151" s="10"/>
      <c r="B151" s="10"/>
      <c r="C151" s="10"/>
      <c r="D151" s="10"/>
      <c r="E151" s="10"/>
      <c r="F151" s="207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 ht="12.75" customHeight="1">
      <c r="A152" s="10"/>
      <c r="B152" s="10"/>
      <c r="C152" s="10"/>
      <c r="D152" s="10"/>
      <c r="E152" s="10"/>
      <c r="F152" s="207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 ht="12.75" customHeight="1">
      <c r="A153" s="10"/>
      <c r="B153" s="10"/>
      <c r="C153" s="10"/>
      <c r="D153" s="10"/>
      <c r="E153" s="10"/>
      <c r="F153" s="207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 ht="12.75" customHeight="1">
      <c r="A154" s="10"/>
      <c r="B154" s="10"/>
      <c r="C154" s="10"/>
      <c r="D154" s="10"/>
      <c r="E154" s="10"/>
      <c r="F154" s="207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</row>
    <row r="155" ht="12.75" customHeight="1">
      <c r="A155" s="10"/>
      <c r="B155" s="10"/>
      <c r="C155" s="10"/>
      <c r="D155" s="10"/>
      <c r="E155" s="10"/>
      <c r="F155" s="207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 ht="12.75" customHeight="1">
      <c r="A156" s="10"/>
      <c r="B156" s="10"/>
      <c r="C156" s="10"/>
      <c r="D156" s="10"/>
      <c r="E156" s="10"/>
      <c r="F156" s="207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 ht="12.75" customHeight="1">
      <c r="A157" s="10"/>
      <c r="B157" s="10"/>
      <c r="C157" s="10"/>
      <c r="D157" s="10"/>
      <c r="E157" s="10"/>
      <c r="F157" s="207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 ht="12.75" customHeight="1">
      <c r="A158" s="10"/>
      <c r="B158" s="10"/>
      <c r="C158" s="10"/>
      <c r="D158" s="10"/>
      <c r="E158" s="10"/>
      <c r="F158" s="207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 ht="12.75" customHeight="1">
      <c r="A159" s="10"/>
      <c r="B159" s="10"/>
      <c r="C159" s="10"/>
      <c r="D159" s="10"/>
      <c r="E159" s="10"/>
      <c r="F159" s="207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 ht="12.75" customHeight="1">
      <c r="A160" s="10"/>
      <c r="B160" s="10"/>
      <c r="C160" s="10"/>
      <c r="D160" s="10"/>
      <c r="E160" s="10"/>
      <c r="F160" s="207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 ht="12.75" customHeight="1">
      <c r="A161" s="10"/>
      <c r="B161" s="10"/>
      <c r="C161" s="10"/>
      <c r="D161" s="10"/>
      <c r="E161" s="10"/>
      <c r="F161" s="207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 ht="12.75" customHeight="1">
      <c r="A162" s="10"/>
      <c r="B162" s="10"/>
      <c r="C162" s="10"/>
      <c r="D162" s="10"/>
      <c r="E162" s="10"/>
      <c r="F162" s="207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 ht="12.75" customHeight="1">
      <c r="A163" s="10"/>
      <c r="B163" s="10"/>
      <c r="C163" s="10"/>
      <c r="D163" s="10"/>
      <c r="E163" s="10"/>
      <c r="F163" s="207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 ht="12.75" customHeight="1">
      <c r="A164" s="10"/>
      <c r="B164" s="10"/>
      <c r="C164" s="10"/>
      <c r="D164" s="10"/>
      <c r="E164" s="10"/>
      <c r="F164" s="207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  <row r="165" ht="12.75" customHeight="1">
      <c r="A165" s="10"/>
      <c r="B165" s="10"/>
      <c r="C165" s="10"/>
      <c r="D165" s="10"/>
      <c r="E165" s="10"/>
      <c r="F165" s="207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 ht="12.75" customHeight="1">
      <c r="A166" s="10"/>
      <c r="B166" s="10"/>
      <c r="C166" s="10"/>
      <c r="D166" s="10"/>
      <c r="E166" s="10"/>
      <c r="F166" s="207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</row>
    <row r="167" ht="12.75" customHeight="1">
      <c r="A167" s="10"/>
      <c r="B167" s="10"/>
      <c r="C167" s="10"/>
      <c r="D167" s="10"/>
      <c r="E167" s="10"/>
      <c r="F167" s="207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</row>
    <row r="168" ht="12.75" customHeight="1">
      <c r="A168" s="10"/>
      <c r="B168" s="10"/>
      <c r="C168" s="10"/>
      <c r="D168" s="10"/>
      <c r="E168" s="10"/>
      <c r="F168" s="207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</row>
    <row r="169" ht="12.75" customHeight="1">
      <c r="A169" s="10"/>
      <c r="B169" s="10"/>
      <c r="C169" s="10"/>
      <c r="D169" s="10"/>
      <c r="E169" s="10"/>
      <c r="F169" s="207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 ht="12.75" customHeight="1">
      <c r="A170" s="10"/>
      <c r="B170" s="10"/>
      <c r="C170" s="10"/>
      <c r="D170" s="10"/>
      <c r="E170" s="10"/>
      <c r="F170" s="207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 ht="12.75" customHeight="1">
      <c r="A171" s="10"/>
      <c r="B171" s="10"/>
      <c r="C171" s="10"/>
      <c r="D171" s="10"/>
      <c r="E171" s="10"/>
      <c r="F171" s="207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 ht="12.75" customHeight="1">
      <c r="A172" s="10"/>
      <c r="B172" s="10"/>
      <c r="C172" s="10"/>
      <c r="D172" s="10"/>
      <c r="E172" s="10"/>
      <c r="F172" s="207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 ht="12.75" customHeight="1">
      <c r="A173" s="10"/>
      <c r="B173" s="10"/>
      <c r="C173" s="10"/>
      <c r="D173" s="10"/>
      <c r="E173" s="10"/>
      <c r="F173" s="207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 ht="12.75" customHeight="1">
      <c r="A174" s="10"/>
      <c r="B174" s="10"/>
      <c r="C174" s="10"/>
      <c r="D174" s="10"/>
      <c r="E174" s="10"/>
      <c r="F174" s="207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 ht="12.75" customHeight="1">
      <c r="A175" s="10"/>
      <c r="B175" s="10"/>
      <c r="C175" s="10"/>
      <c r="D175" s="10"/>
      <c r="E175" s="10"/>
      <c r="F175" s="207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 ht="12.75" customHeight="1">
      <c r="A176" s="10"/>
      <c r="B176" s="10"/>
      <c r="C176" s="10"/>
      <c r="D176" s="10"/>
      <c r="E176" s="10"/>
      <c r="F176" s="207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</row>
    <row r="177" ht="12.75" customHeight="1">
      <c r="A177" s="10"/>
      <c r="B177" s="10"/>
      <c r="C177" s="10"/>
      <c r="D177" s="10"/>
      <c r="E177" s="10"/>
      <c r="F177" s="20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</row>
    <row r="178" ht="12.75" customHeight="1">
      <c r="A178" s="10"/>
      <c r="B178" s="10"/>
      <c r="C178" s="10"/>
      <c r="D178" s="10"/>
      <c r="E178" s="10"/>
      <c r="F178" s="207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 ht="12.75" customHeight="1">
      <c r="A179" s="10"/>
      <c r="B179" s="10"/>
      <c r="C179" s="10"/>
      <c r="D179" s="10"/>
      <c r="E179" s="10"/>
      <c r="F179" s="207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</row>
    <row r="180" ht="12.75" customHeight="1">
      <c r="A180" s="10"/>
      <c r="B180" s="10"/>
      <c r="C180" s="10"/>
      <c r="D180" s="10"/>
      <c r="E180" s="10"/>
      <c r="F180" s="207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</row>
    <row r="181" ht="12.75" customHeight="1">
      <c r="A181" s="10"/>
      <c r="B181" s="10"/>
      <c r="C181" s="10"/>
      <c r="D181" s="10"/>
      <c r="E181" s="10"/>
      <c r="F181" s="207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</row>
    <row r="182" ht="12.75" customHeight="1">
      <c r="A182" s="10"/>
      <c r="B182" s="10"/>
      <c r="C182" s="10"/>
      <c r="D182" s="10"/>
      <c r="E182" s="10"/>
      <c r="F182" s="207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</row>
    <row r="183" ht="12.75" customHeight="1">
      <c r="A183" s="10"/>
      <c r="B183" s="10"/>
      <c r="C183" s="10"/>
      <c r="D183" s="10"/>
      <c r="E183" s="10"/>
      <c r="F183" s="207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</row>
    <row r="184" ht="12.75" customHeight="1">
      <c r="A184" s="10"/>
      <c r="B184" s="10"/>
      <c r="C184" s="10"/>
      <c r="D184" s="10"/>
      <c r="E184" s="10"/>
      <c r="F184" s="207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</row>
    <row r="185" ht="12.75" customHeight="1">
      <c r="A185" s="10"/>
      <c r="B185" s="10"/>
      <c r="C185" s="10"/>
      <c r="D185" s="10"/>
      <c r="E185" s="10"/>
      <c r="F185" s="207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</row>
    <row r="186" ht="12.75" customHeight="1">
      <c r="A186" s="10"/>
      <c r="B186" s="10"/>
      <c r="C186" s="10"/>
      <c r="D186" s="10"/>
      <c r="E186" s="10"/>
      <c r="F186" s="207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</row>
    <row r="187" ht="12.75" customHeight="1">
      <c r="A187" s="10"/>
      <c r="B187" s="10"/>
      <c r="C187" s="10"/>
      <c r="D187" s="10"/>
      <c r="E187" s="10"/>
      <c r="F187" s="207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 ht="12.75" customHeight="1">
      <c r="A188" s="10"/>
      <c r="B188" s="10"/>
      <c r="C188" s="10"/>
      <c r="D188" s="10"/>
      <c r="E188" s="10"/>
      <c r="F188" s="207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</row>
    <row r="189" ht="12.75" customHeight="1">
      <c r="A189" s="10"/>
      <c r="B189" s="10"/>
      <c r="C189" s="10"/>
      <c r="D189" s="10"/>
      <c r="E189" s="10"/>
      <c r="F189" s="207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</row>
    <row r="190" ht="12.75" customHeight="1">
      <c r="A190" s="10"/>
      <c r="B190" s="10"/>
      <c r="C190" s="10"/>
      <c r="D190" s="10"/>
      <c r="E190" s="10"/>
      <c r="F190" s="207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</row>
    <row r="191" ht="12.75" customHeight="1">
      <c r="A191" s="10"/>
      <c r="B191" s="10"/>
      <c r="C191" s="10"/>
      <c r="D191" s="10"/>
      <c r="E191" s="10"/>
      <c r="F191" s="207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</row>
    <row r="192" ht="12.75" customHeight="1">
      <c r="A192" s="10"/>
      <c r="B192" s="10"/>
      <c r="C192" s="10"/>
      <c r="D192" s="10"/>
      <c r="E192" s="10"/>
      <c r="F192" s="207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</row>
    <row r="193" ht="12.75" customHeight="1">
      <c r="A193" s="10"/>
      <c r="B193" s="10"/>
      <c r="C193" s="10"/>
      <c r="D193" s="10"/>
      <c r="E193" s="10"/>
      <c r="F193" s="207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</row>
    <row r="194" ht="12.75" customHeight="1">
      <c r="A194" s="10"/>
      <c r="B194" s="10"/>
      <c r="C194" s="10"/>
      <c r="D194" s="10"/>
      <c r="E194" s="10"/>
      <c r="F194" s="207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</row>
    <row r="195" ht="12.75" customHeight="1">
      <c r="A195" s="10"/>
      <c r="B195" s="10"/>
      <c r="C195" s="10"/>
      <c r="D195" s="10"/>
      <c r="E195" s="10"/>
      <c r="F195" s="207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</row>
    <row r="196" ht="12.75" customHeight="1">
      <c r="A196" s="10"/>
      <c r="B196" s="10"/>
      <c r="C196" s="10"/>
      <c r="D196" s="10"/>
      <c r="E196" s="10"/>
      <c r="F196" s="207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</row>
    <row r="197" ht="12.75" customHeight="1">
      <c r="A197" s="10"/>
      <c r="B197" s="10"/>
      <c r="C197" s="10"/>
      <c r="D197" s="10"/>
      <c r="E197" s="10"/>
      <c r="F197" s="207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</row>
    <row r="198" ht="12.75" customHeight="1">
      <c r="A198" s="10"/>
      <c r="B198" s="10"/>
      <c r="C198" s="10"/>
      <c r="D198" s="10"/>
      <c r="E198" s="10"/>
      <c r="F198" s="207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</row>
    <row r="199" ht="12.75" customHeight="1">
      <c r="A199" s="10"/>
      <c r="B199" s="10"/>
      <c r="C199" s="10"/>
      <c r="D199" s="10"/>
      <c r="E199" s="10"/>
      <c r="F199" s="207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</row>
    <row r="200" ht="12.75" customHeight="1">
      <c r="A200" s="10"/>
      <c r="B200" s="10"/>
      <c r="C200" s="10"/>
      <c r="D200" s="10"/>
      <c r="E200" s="10"/>
      <c r="F200" s="207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</row>
    <row r="201" ht="12.75" customHeight="1">
      <c r="A201" s="10"/>
      <c r="B201" s="10"/>
      <c r="C201" s="10"/>
      <c r="D201" s="10"/>
      <c r="E201" s="10"/>
      <c r="F201" s="207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</row>
    <row r="202" ht="12.75" customHeight="1">
      <c r="A202" s="10"/>
      <c r="B202" s="10"/>
      <c r="C202" s="10"/>
      <c r="D202" s="10"/>
      <c r="E202" s="10"/>
      <c r="F202" s="207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</row>
    <row r="203" ht="12.75" customHeight="1">
      <c r="A203" s="10"/>
      <c r="B203" s="10"/>
      <c r="C203" s="10"/>
      <c r="D203" s="10"/>
      <c r="E203" s="10"/>
      <c r="F203" s="207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</row>
    <row r="204" ht="12.75" customHeight="1">
      <c r="A204" s="10"/>
      <c r="B204" s="10"/>
      <c r="C204" s="10"/>
      <c r="D204" s="10"/>
      <c r="E204" s="10"/>
      <c r="F204" s="207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</row>
    <row r="205" ht="12.75" customHeight="1">
      <c r="A205" s="10"/>
      <c r="B205" s="10"/>
      <c r="C205" s="10"/>
      <c r="D205" s="10"/>
      <c r="E205" s="10"/>
      <c r="F205" s="207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</row>
    <row r="206" ht="12.75" customHeight="1">
      <c r="A206" s="10"/>
      <c r="B206" s="10"/>
      <c r="C206" s="10"/>
      <c r="D206" s="10"/>
      <c r="E206" s="10"/>
      <c r="F206" s="207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</row>
    <row r="207" ht="12.75" customHeight="1">
      <c r="A207" s="10"/>
      <c r="B207" s="10"/>
      <c r="C207" s="10"/>
      <c r="D207" s="10"/>
      <c r="E207" s="10"/>
      <c r="F207" s="207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</row>
    <row r="208" ht="12.75" customHeight="1">
      <c r="A208" s="10"/>
      <c r="B208" s="10"/>
      <c r="C208" s="10"/>
      <c r="D208" s="10"/>
      <c r="E208" s="10"/>
      <c r="F208" s="207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</row>
    <row r="209" ht="12.75" customHeight="1">
      <c r="A209" s="10"/>
      <c r="B209" s="10"/>
      <c r="C209" s="10"/>
      <c r="D209" s="10"/>
      <c r="E209" s="10"/>
      <c r="F209" s="207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</row>
    <row r="210" ht="12.75" customHeight="1">
      <c r="A210" s="10"/>
      <c r="B210" s="10"/>
      <c r="C210" s="10"/>
      <c r="D210" s="10"/>
      <c r="E210" s="10"/>
      <c r="F210" s="207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</row>
    <row r="211" ht="12.75" customHeight="1">
      <c r="A211" s="10"/>
      <c r="B211" s="10"/>
      <c r="C211" s="10"/>
      <c r="D211" s="10"/>
      <c r="E211" s="10"/>
      <c r="F211" s="207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</row>
    <row r="212" ht="12.75" customHeight="1">
      <c r="A212" s="10"/>
      <c r="B212" s="10"/>
      <c r="C212" s="10"/>
      <c r="D212" s="10"/>
      <c r="E212" s="10"/>
      <c r="F212" s="207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 ht="12.75" customHeight="1">
      <c r="A213" s="10"/>
      <c r="B213" s="10"/>
      <c r="C213" s="10"/>
      <c r="D213" s="10"/>
      <c r="E213" s="10"/>
      <c r="F213" s="207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</row>
    <row r="214" ht="12.75" customHeight="1">
      <c r="A214" s="10"/>
      <c r="B214" s="10"/>
      <c r="C214" s="10"/>
      <c r="D214" s="10"/>
      <c r="E214" s="10"/>
      <c r="F214" s="207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</row>
    <row r="215" ht="12.75" customHeight="1">
      <c r="A215" s="10"/>
      <c r="B215" s="10"/>
      <c r="C215" s="10"/>
      <c r="D215" s="10"/>
      <c r="E215" s="10"/>
      <c r="F215" s="207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</row>
    <row r="216" ht="12.75" customHeight="1">
      <c r="A216" s="10"/>
      <c r="B216" s="10"/>
      <c r="C216" s="10"/>
      <c r="D216" s="10"/>
      <c r="E216" s="10"/>
      <c r="F216" s="207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 ht="12.75" customHeight="1">
      <c r="A217" s="10"/>
      <c r="B217" s="10"/>
      <c r="C217" s="10"/>
      <c r="D217" s="10"/>
      <c r="E217" s="10"/>
      <c r="F217" s="207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</row>
    <row r="218" ht="12.75" customHeight="1">
      <c r="A218" s="10"/>
      <c r="B218" s="10"/>
      <c r="C218" s="10"/>
      <c r="D218" s="10"/>
      <c r="E218" s="10"/>
      <c r="F218" s="207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 ht="12.75" customHeight="1">
      <c r="A219" s="10"/>
      <c r="B219" s="10"/>
      <c r="C219" s="10"/>
      <c r="D219" s="10"/>
      <c r="E219" s="10"/>
      <c r="F219" s="207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</row>
    <row r="220" ht="12.75" customHeight="1">
      <c r="A220" s="10"/>
      <c r="B220" s="10"/>
      <c r="C220" s="10"/>
      <c r="D220" s="10"/>
      <c r="E220" s="10"/>
      <c r="F220" s="207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</row>
    <row r="221" ht="12.75" customHeight="1">
      <c r="A221" s="10"/>
      <c r="B221" s="10"/>
      <c r="C221" s="10"/>
      <c r="D221" s="10"/>
      <c r="E221" s="10"/>
      <c r="F221" s="207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</row>
    <row r="222" ht="12.75" customHeight="1">
      <c r="A222" s="10"/>
      <c r="B222" s="10"/>
      <c r="C222" s="10"/>
      <c r="D222" s="10"/>
      <c r="E222" s="10"/>
      <c r="F222" s="207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</row>
    <row r="223" ht="12.75" customHeight="1">
      <c r="A223" s="10"/>
      <c r="B223" s="10"/>
      <c r="C223" s="10"/>
      <c r="D223" s="10"/>
      <c r="E223" s="10"/>
      <c r="F223" s="207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</row>
    <row r="224" ht="12.75" customHeight="1">
      <c r="A224" s="10"/>
      <c r="B224" s="10"/>
      <c r="C224" s="10"/>
      <c r="D224" s="10"/>
      <c r="E224" s="10"/>
      <c r="F224" s="207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</row>
    <row r="225" ht="12.75" customHeight="1">
      <c r="A225" s="10"/>
      <c r="B225" s="10"/>
      <c r="C225" s="10"/>
      <c r="D225" s="10"/>
      <c r="E225" s="10"/>
      <c r="F225" s="207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</row>
    <row r="226" ht="12.75" customHeight="1">
      <c r="A226" s="10"/>
      <c r="B226" s="10"/>
      <c r="C226" s="10"/>
      <c r="D226" s="10"/>
      <c r="E226" s="10"/>
      <c r="F226" s="207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 ht="12.75" customHeight="1">
      <c r="A227" s="10"/>
      <c r="B227" s="10"/>
      <c r="C227" s="10"/>
      <c r="D227" s="10"/>
      <c r="E227" s="10"/>
      <c r="F227" s="207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</row>
    <row r="228" ht="12.75" customHeight="1">
      <c r="A228" s="10"/>
      <c r="B228" s="10"/>
      <c r="C228" s="10"/>
      <c r="D228" s="10"/>
      <c r="E228" s="10"/>
      <c r="F228" s="207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</row>
    <row r="229" ht="12.75" customHeight="1">
      <c r="A229" s="10"/>
      <c r="B229" s="10"/>
      <c r="C229" s="10"/>
      <c r="D229" s="10"/>
      <c r="E229" s="10"/>
      <c r="F229" s="207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</row>
    <row r="230" ht="12.75" customHeight="1">
      <c r="A230" s="10"/>
      <c r="B230" s="10"/>
      <c r="C230" s="10"/>
      <c r="D230" s="10"/>
      <c r="E230" s="10"/>
      <c r="F230" s="207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</row>
    <row r="231" ht="12.75" customHeight="1">
      <c r="A231" s="10"/>
      <c r="B231" s="10"/>
      <c r="C231" s="10"/>
      <c r="D231" s="10"/>
      <c r="E231" s="10"/>
      <c r="F231" s="207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</row>
    <row r="232" ht="12.75" customHeight="1">
      <c r="A232" s="10"/>
      <c r="B232" s="10"/>
      <c r="C232" s="10"/>
      <c r="D232" s="10"/>
      <c r="E232" s="10"/>
      <c r="F232" s="207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</row>
    <row r="233" ht="12.75" customHeight="1">
      <c r="A233" s="10"/>
      <c r="B233" s="10"/>
      <c r="C233" s="10"/>
      <c r="D233" s="10"/>
      <c r="E233" s="10"/>
      <c r="F233" s="207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</row>
    <row r="234" ht="12.75" customHeight="1">
      <c r="A234" s="10"/>
      <c r="B234" s="10"/>
      <c r="C234" s="10"/>
      <c r="D234" s="10"/>
      <c r="E234" s="10"/>
      <c r="F234" s="207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</row>
    <row r="235" ht="12.75" customHeight="1">
      <c r="A235" s="10"/>
      <c r="B235" s="10"/>
      <c r="C235" s="10"/>
      <c r="D235" s="10"/>
      <c r="E235" s="10"/>
      <c r="F235" s="207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</row>
    <row r="236" ht="12.75" customHeight="1">
      <c r="A236" s="10"/>
      <c r="B236" s="10"/>
      <c r="C236" s="10"/>
      <c r="D236" s="10"/>
      <c r="E236" s="10"/>
      <c r="F236" s="207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</row>
    <row r="237" ht="12.75" customHeight="1">
      <c r="A237" s="10"/>
      <c r="B237" s="10"/>
      <c r="C237" s="10"/>
      <c r="D237" s="10"/>
      <c r="E237" s="10"/>
      <c r="F237" s="207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</row>
    <row r="238" ht="12.75" customHeight="1">
      <c r="A238" s="10"/>
      <c r="B238" s="10"/>
      <c r="C238" s="10"/>
      <c r="D238" s="10"/>
      <c r="E238" s="10"/>
      <c r="F238" s="207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</row>
    <row r="239" ht="12.75" customHeight="1">
      <c r="A239" s="10"/>
      <c r="B239" s="10"/>
      <c r="C239" s="10"/>
      <c r="D239" s="10"/>
      <c r="E239" s="10"/>
      <c r="F239" s="207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</row>
    <row r="240" ht="12.75" customHeight="1">
      <c r="A240" s="10"/>
      <c r="B240" s="10"/>
      <c r="C240" s="10"/>
      <c r="D240" s="10"/>
      <c r="E240" s="10"/>
      <c r="F240" s="207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</row>
    <row r="241" ht="12.75" customHeight="1">
      <c r="A241" s="10"/>
      <c r="B241" s="10"/>
      <c r="C241" s="10"/>
      <c r="D241" s="10"/>
      <c r="E241" s="10"/>
      <c r="F241" s="207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</row>
    <row r="242" ht="12.75" customHeight="1">
      <c r="A242" s="10"/>
      <c r="B242" s="10"/>
      <c r="C242" s="10"/>
      <c r="D242" s="10"/>
      <c r="E242" s="10"/>
      <c r="F242" s="207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</row>
    <row r="243" ht="12.75" customHeight="1">
      <c r="A243" s="10"/>
      <c r="B243" s="10"/>
      <c r="C243" s="10"/>
      <c r="D243" s="10"/>
      <c r="E243" s="10"/>
      <c r="F243" s="207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</row>
    <row r="244" ht="12.75" customHeight="1">
      <c r="A244" s="10"/>
      <c r="B244" s="10"/>
      <c r="C244" s="10"/>
      <c r="D244" s="10"/>
      <c r="E244" s="10"/>
      <c r="F244" s="207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</row>
    <row r="245" ht="12.75" customHeight="1">
      <c r="A245" s="10"/>
      <c r="B245" s="10"/>
      <c r="C245" s="10"/>
      <c r="D245" s="10"/>
      <c r="E245" s="10"/>
      <c r="F245" s="207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</row>
    <row r="246" ht="12.75" customHeight="1">
      <c r="A246" s="10"/>
      <c r="B246" s="10"/>
      <c r="C246" s="10"/>
      <c r="D246" s="10"/>
      <c r="E246" s="10"/>
      <c r="F246" s="207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 ht="12.75" customHeight="1">
      <c r="A247" s="10"/>
      <c r="B247" s="10"/>
      <c r="C247" s="10"/>
      <c r="D247" s="10"/>
      <c r="E247" s="10"/>
      <c r="F247" s="207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</row>
    <row r="248" ht="12.75" customHeight="1">
      <c r="A248" s="10"/>
      <c r="B248" s="10"/>
      <c r="C248" s="10"/>
      <c r="D248" s="10"/>
      <c r="E248" s="10"/>
      <c r="F248" s="207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</row>
    <row r="249" ht="12.75" customHeight="1">
      <c r="A249" s="10"/>
      <c r="B249" s="10"/>
      <c r="C249" s="10"/>
      <c r="D249" s="10"/>
      <c r="E249" s="10"/>
      <c r="F249" s="207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</row>
    <row r="250" ht="12.75" customHeight="1">
      <c r="A250" s="10"/>
      <c r="B250" s="10"/>
      <c r="C250" s="10"/>
      <c r="D250" s="10"/>
      <c r="E250" s="10"/>
      <c r="F250" s="207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</row>
    <row r="251" ht="12.75" customHeight="1">
      <c r="A251" s="10"/>
      <c r="B251" s="10"/>
      <c r="C251" s="10"/>
      <c r="D251" s="10"/>
      <c r="E251" s="10"/>
      <c r="F251" s="207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</row>
    <row r="252" ht="12.75" customHeight="1">
      <c r="A252" s="10"/>
      <c r="B252" s="10"/>
      <c r="C252" s="10"/>
      <c r="D252" s="10"/>
      <c r="E252" s="10"/>
      <c r="F252" s="207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</row>
    <row r="253" ht="12.75" customHeight="1">
      <c r="A253" s="10"/>
      <c r="B253" s="10"/>
      <c r="C253" s="10"/>
      <c r="D253" s="10"/>
      <c r="E253" s="10"/>
      <c r="F253" s="207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</row>
    <row r="254" ht="12.75" customHeight="1">
      <c r="A254" s="10"/>
      <c r="B254" s="10"/>
      <c r="C254" s="10"/>
      <c r="D254" s="10"/>
      <c r="E254" s="10"/>
      <c r="F254" s="207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</row>
    <row r="255" ht="12.75" customHeight="1">
      <c r="A255" s="10"/>
      <c r="B255" s="10"/>
      <c r="C255" s="10"/>
      <c r="D255" s="10"/>
      <c r="E255" s="10"/>
      <c r="F255" s="207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</row>
    <row r="256" ht="12.75" customHeight="1">
      <c r="A256" s="10"/>
      <c r="B256" s="10"/>
      <c r="C256" s="10"/>
      <c r="D256" s="10"/>
      <c r="E256" s="10"/>
      <c r="F256" s="207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</row>
    <row r="257" ht="12.75" customHeight="1">
      <c r="A257" s="10"/>
      <c r="B257" s="10"/>
      <c r="C257" s="10"/>
      <c r="D257" s="10"/>
      <c r="E257" s="10"/>
      <c r="F257" s="207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</row>
    <row r="258" ht="12.75" customHeight="1">
      <c r="A258" s="10"/>
      <c r="B258" s="10"/>
      <c r="C258" s="10"/>
      <c r="D258" s="10"/>
      <c r="E258" s="10"/>
      <c r="F258" s="207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</row>
    <row r="259" ht="12.75" customHeight="1">
      <c r="A259" s="10"/>
      <c r="B259" s="10"/>
      <c r="C259" s="10"/>
      <c r="D259" s="10"/>
      <c r="E259" s="10"/>
      <c r="F259" s="207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 ht="12.75" customHeight="1">
      <c r="A260" s="10"/>
      <c r="B260" s="10"/>
      <c r="C260" s="10"/>
      <c r="D260" s="10"/>
      <c r="E260" s="10"/>
      <c r="F260" s="207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 ht="12.75" customHeight="1">
      <c r="A261" s="10"/>
      <c r="B261" s="10"/>
      <c r="C261" s="10"/>
      <c r="D261" s="10"/>
      <c r="E261" s="10"/>
      <c r="F261" s="207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 ht="12.75" customHeight="1">
      <c r="A262" s="10"/>
      <c r="B262" s="10"/>
      <c r="C262" s="10"/>
      <c r="D262" s="10"/>
      <c r="E262" s="10"/>
      <c r="F262" s="207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 ht="12.75" customHeight="1">
      <c r="A263" s="10"/>
      <c r="B263" s="10"/>
      <c r="C263" s="10"/>
      <c r="D263" s="10"/>
      <c r="E263" s="10"/>
      <c r="F263" s="207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 ht="12.75" customHeight="1">
      <c r="A264" s="10"/>
      <c r="B264" s="10"/>
      <c r="C264" s="10"/>
      <c r="D264" s="10"/>
      <c r="E264" s="10"/>
      <c r="F264" s="207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 ht="12.75" customHeight="1">
      <c r="A265" s="10"/>
      <c r="B265" s="10"/>
      <c r="C265" s="10"/>
      <c r="D265" s="10"/>
      <c r="E265" s="10"/>
      <c r="F265" s="207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 ht="12.75" customHeight="1">
      <c r="A266" s="10"/>
      <c r="B266" s="10"/>
      <c r="C266" s="10"/>
      <c r="D266" s="10"/>
      <c r="E266" s="10"/>
      <c r="F266" s="207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 ht="12.75" customHeight="1">
      <c r="A267" s="10"/>
      <c r="B267" s="10"/>
      <c r="C267" s="10"/>
      <c r="D267" s="10"/>
      <c r="E267" s="10"/>
      <c r="F267" s="207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 ht="12.75" customHeight="1">
      <c r="A268" s="10"/>
      <c r="B268" s="10"/>
      <c r="C268" s="10"/>
      <c r="D268" s="10"/>
      <c r="E268" s="10"/>
      <c r="F268" s="207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 ht="12.75" customHeight="1">
      <c r="A269" s="10"/>
      <c r="B269" s="10"/>
      <c r="C269" s="10"/>
      <c r="D269" s="10"/>
      <c r="E269" s="10"/>
      <c r="F269" s="207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 ht="12.75" customHeight="1">
      <c r="A270" s="10"/>
      <c r="B270" s="10"/>
      <c r="C270" s="10"/>
      <c r="D270" s="10"/>
      <c r="E270" s="10"/>
      <c r="F270" s="207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 ht="12.75" customHeight="1">
      <c r="A271" s="10"/>
      <c r="B271" s="10"/>
      <c r="C271" s="10"/>
      <c r="D271" s="10"/>
      <c r="E271" s="10"/>
      <c r="F271" s="207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 ht="12.75" customHeight="1">
      <c r="A272" s="10"/>
      <c r="B272" s="10"/>
      <c r="C272" s="10"/>
      <c r="D272" s="10"/>
      <c r="E272" s="10"/>
      <c r="F272" s="207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 ht="12.75" customHeight="1">
      <c r="A273" s="10"/>
      <c r="B273" s="10"/>
      <c r="C273" s="10"/>
      <c r="D273" s="10"/>
      <c r="E273" s="10"/>
      <c r="F273" s="207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 ht="12.75" customHeight="1">
      <c r="A274" s="10"/>
      <c r="B274" s="10"/>
      <c r="C274" s="10"/>
      <c r="D274" s="10"/>
      <c r="E274" s="10"/>
      <c r="F274" s="207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 ht="12.75" customHeight="1">
      <c r="A275" s="10"/>
      <c r="B275" s="10"/>
      <c r="C275" s="10"/>
      <c r="D275" s="10"/>
      <c r="E275" s="10"/>
      <c r="F275" s="207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 ht="12.75" customHeight="1">
      <c r="A276" s="10"/>
      <c r="B276" s="10"/>
      <c r="C276" s="10"/>
      <c r="D276" s="10"/>
      <c r="E276" s="10"/>
      <c r="F276" s="207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 ht="12.75" customHeight="1">
      <c r="A277" s="10"/>
      <c r="B277" s="10"/>
      <c r="C277" s="10"/>
      <c r="D277" s="10"/>
      <c r="E277" s="10"/>
      <c r="F277" s="207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 ht="12.75" customHeight="1">
      <c r="A278" s="10"/>
      <c r="B278" s="10"/>
      <c r="C278" s="10"/>
      <c r="D278" s="10"/>
      <c r="E278" s="10"/>
      <c r="F278" s="207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 ht="12.75" customHeight="1">
      <c r="A279" s="10"/>
      <c r="B279" s="10"/>
      <c r="C279" s="10"/>
      <c r="D279" s="10"/>
      <c r="E279" s="10"/>
      <c r="F279" s="207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 ht="12.75" customHeight="1">
      <c r="A280" s="10"/>
      <c r="B280" s="10"/>
      <c r="C280" s="10"/>
      <c r="D280" s="10"/>
      <c r="E280" s="10"/>
      <c r="F280" s="207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 ht="12.75" customHeight="1">
      <c r="A281" s="10"/>
      <c r="B281" s="10"/>
      <c r="C281" s="10"/>
      <c r="D281" s="10"/>
      <c r="E281" s="10"/>
      <c r="F281" s="207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 ht="12.75" customHeight="1">
      <c r="A282" s="10"/>
      <c r="B282" s="10"/>
      <c r="C282" s="10"/>
      <c r="D282" s="10"/>
      <c r="E282" s="10"/>
      <c r="F282" s="207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 ht="12.75" customHeight="1">
      <c r="A283" s="10"/>
      <c r="B283" s="10"/>
      <c r="C283" s="10"/>
      <c r="D283" s="10"/>
      <c r="E283" s="10"/>
      <c r="F283" s="207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 ht="12.75" customHeight="1">
      <c r="A284" s="10"/>
      <c r="B284" s="10"/>
      <c r="C284" s="10"/>
      <c r="D284" s="10"/>
      <c r="E284" s="10"/>
      <c r="F284" s="207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  <row r="285" ht="12.75" customHeight="1">
      <c r="A285" s="10"/>
      <c r="B285" s="10"/>
      <c r="C285" s="10"/>
      <c r="D285" s="10"/>
      <c r="E285" s="10"/>
      <c r="F285" s="207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</row>
    <row r="286" ht="12.75" customHeight="1">
      <c r="A286" s="10"/>
      <c r="B286" s="10"/>
      <c r="C286" s="10"/>
      <c r="D286" s="10"/>
      <c r="E286" s="10"/>
      <c r="F286" s="207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</row>
    <row r="287" ht="12.75" customHeight="1">
      <c r="A287" s="10"/>
      <c r="B287" s="10"/>
      <c r="C287" s="10"/>
      <c r="D287" s="10"/>
      <c r="E287" s="10"/>
      <c r="F287" s="207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</row>
    <row r="288" ht="12.75" customHeight="1">
      <c r="A288" s="10"/>
      <c r="B288" s="10"/>
      <c r="C288" s="10"/>
      <c r="D288" s="10"/>
      <c r="E288" s="10"/>
      <c r="F288" s="207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</row>
    <row r="289" ht="12.75" customHeight="1">
      <c r="A289" s="10"/>
      <c r="B289" s="10"/>
      <c r="C289" s="10"/>
      <c r="D289" s="10"/>
      <c r="E289" s="10"/>
      <c r="F289" s="207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</row>
    <row r="290" ht="12.75" customHeight="1">
      <c r="A290" s="10"/>
      <c r="B290" s="10"/>
      <c r="C290" s="10"/>
      <c r="D290" s="10"/>
      <c r="E290" s="10"/>
      <c r="F290" s="207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</row>
    <row r="291" ht="12.75" customHeight="1">
      <c r="A291" s="10"/>
      <c r="B291" s="10"/>
      <c r="C291" s="10"/>
      <c r="D291" s="10"/>
      <c r="E291" s="10"/>
      <c r="F291" s="207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</row>
    <row r="292" ht="12.75" customHeight="1">
      <c r="A292" s="10"/>
      <c r="B292" s="10"/>
      <c r="C292" s="10"/>
      <c r="D292" s="10"/>
      <c r="E292" s="10"/>
      <c r="F292" s="207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</row>
    <row r="293" ht="12.75" customHeight="1">
      <c r="A293" s="10"/>
      <c r="B293" s="10"/>
      <c r="C293" s="10"/>
      <c r="D293" s="10"/>
      <c r="E293" s="10"/>
      <c r="F293" s="207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</row>
    <row r="294" ht="12.75" customHeight="1">
      <c r="A294" s="10"/>
      <c r="B294" s="10"/>
      <c r="C294" s="10"/>
      <c r="D294" s="10"/>
      <c r="E294" s="10"/>
      <c r="F294" s="207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</row>
    <row r="295" ht="12.75" customHeight="1">
      <c r="A295" s="10"/>
      <c r="B295" s="10"/>
      <c r="C295" s="10"/>
      <c r="D295" s="10"/>
      <c r="E295" s="10"/>
      <c r="F295" s="207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</row>
    <row r="296" ht="12.75" customHeight="1">
      <c r="A296" s="10"/>
      <c r="B296" s="10"/>
      <c r="C296" s="10"/>
      <c r="D296" s="10"/>
      <c r="E296" s="10"/>
      <c r="F296" s="207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</row>
    <row r="297" ht="12.75" customHeight="1">
      <c r="A297" s="10"/>
      <c r="B297" s="10"/>
      <c r="C297" s="10"/>
      <c r="D297" s="10"/>
      <c r="E297" s="10"/>
      <c r="F297" s="207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</row>
    <row r="298" ht="12.75" customHeight="1">
      <c r="A298" s="10"/>
      <c r="B298" s="10"/>
      <c r="C298" s="10"/>
      <c r="D298" s="10"/>
      <c r="E298" s="10"/>
      <c r="F298" s="207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</row>
    <row r="299" ht="12.75" customHeight="1">
      <c r="A299" s="10"/>
      <c r="B299" s="10"/>
      <c r="C299" s="10"/>
      <c r="D299" s="10"/>
      <c r="E299" s="10"/>
      <c r="F299" s="207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</row>
    <row r="300" ht="12.75" customHeight="1">
      <c r="A300" s="10"/>
      <c r="B300" s="10"/>
      <c r="C300" s="10"/>
      <c r="D300" s="10"/>
      <c r="E300" s="10"/>
      <c r="F300" s="207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</row>
    <row r="301" ht="12.75" customHeight="1">
      <c r="A301" s="10"/>
      <c r="B301" s="10"/>
      <c r="C301" s="10"/>
      <c r="D301" s="10"/>
      <c r="E301" s="10"/>
      <c r="F301" s="207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</row>
    <row r="302" ht="12.75" customHeight="1">
      <c r="A302" s="10"/>
      <c r="B302" s="10"/>
      <c r="C302" s="10"/>
      <c r="D302" s="10"/>
      <c r="E302" s="10"/>
      <c r="F302" s="207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</row>
    <row r="303" ht="12.75" customHeight="1">
      <c r="A303" s="10"/>
      <c r="B303" s="10"/>
      <c r="C303" s="10"/>
      <c r="D303" s="10"/>
      <c r="E303" s="10"/>
      <c r="F303" s="207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</row>
    <row r="304" ht="12.75" customHeight="1">
      <c r="A304" s="10"/>
      <c r="B304" s="10"/>
      <c r="C304" s="10"/>
      <c r="D304" s="10"/>
      <c r="E304" s="10"/>
      <c r="F304" s="207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</row>
    <row r="305" ht="12.75" customHeight="1">
      <c r="A305" s="10"/>
      <c r="B305" s="10"/>
      <c r="C305" s="10"/>
      <c r="D305" s="10"/>
      <c r="E305" s="10"/>
      <c r="F305" s="207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</row>
    <row r="306" ht="12.75" customHeight="1">
      <c r="A306" s="10"/>
      <c r="B306" s="10"/>
      <c r="C306" s="10"/>
      <c r="D306" s="10"/>
      <c r="E306" s="10"/>
      <c r="F306" s="207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</row>
    <row r="307" ht="12.75" customHeight="1">
      <c r="A307" s="10"/>
      <c r="B307" s="10"/>
      <c r="C307" s="10"/>
      <c r="D307" s="10"/>
      <c r="E307" s="10"/>
      <c r="F307" s="207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</row>
    <row r="308" ht="12.75" customHeight="1">
      <c r="A308" s="10"/>
      <c r="B308" s="10"/>
      <c r="C308" s="10"/>
      <c r="D308" s="10"/>
      <c r="E308" s="10"/>
      <c r="F308" s="207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</row>
    <row r="309" ht="12.75" customHeight="1">
      <c r="A309" s="10"/>
      <c r="B309" s="10"/>
      <c r="C309" s="10"/>
      <c r="D309" s="10"/>
      <c r="E309" s="10"/>
      <c r="F309" s="207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</row>
    <row r="310" ht="12.75" customHeight="1">
      <c r="A310" s="10"/>
      <c r="B310" s="10"/>
      <c r="C310" s="10"/>
      <c r="D310" s="10"/>
      <c r="E310" s="10"/>
      <c r="F310" s="207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</row>
    <row r="311" ht="12.75" customHeight="1">
      <c r="A311" s="10"/>
      <c r="B311" s="10"/>
      <c r="C311" s="10"/>
      <c r="D311" s="10"/>
      <c r="E311" s="10"/>
      <c r="F311" s="207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</row>
    <row r="312" ht="12.75" customHeight="1">
      <c r="A312" s="10"/>
      <c r="B312" s="10"/>
      <c r="C312" s="10"/>
      <c r="D312" s="10"/>
      <c r="E312" s="10"/>
      <c r="F312" s="207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</row>
    <row r="313" ht="12.75" customHeight="1">
      <c r="A313" s="10"/>
      <c r="B313" s="10"/>
      <c r="C313" s="10"/>
      <c r="D313" s="10"/>
      <c r="E313" s="10"/>
      <c r="F313" s="207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</row>
    <row r="314" ht="12.75" customHeight="1">
      <c r="A314" s="10"/>
      <c r="B314" s="10"/>
      <c r="C314" s="10"/>
      <c r="D314" s="10"/>
      <c r="E314" s="10"/>
      <c r="F314" s="207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</row>
    <row r="315" ht="12.75" customHeight="1">
      <c r="A315" s="10"/>
      <c r="B315" s="10"/>
      <c r="C315" s="10"/>
      <c r="D315" s="10"/>
      <c r="E315" s="10"/>
      <c r="F315" s="207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</row>
    <row r="316" ht="12.75" customHeight="1">
      <c r="A316" s="10"/>
      <c r="B316" s="10"/>
      <c r="C316" s="10"/>
      <c r="D316" s="10"/>
      <c r="E316" s="10"/>
      <c r="F316" s="207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</row>
    <row r="317" ht="12.75" customHeight="1">
      <c r="A317" s="10"/>
      <c r="B317" s="10"/>
      <c r="C317" s="10"/>
      <c r="D317" s="10"/>
      <c r="E317" s="10"/>
      <c r="F317" s="207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</row>
    <row r="318" ht="12.75" customHeight="1">
      <c r="A318" s="10"/>
      <c r="B318" s="10"/>
      <c r="C318" s="10"/>
      <c r="D318" s="10"/>
      <c r="E318" s="10"/>
      <c r="F318" s="207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</row>
    <row r="319" ht="12.75" customHeight="1">
      <c r="A319" s="10"/>
      <c r="B319" s="10"/>
      <c r="C319" s="10"/>
      <c r="D319" s="10"/>
      <c r="E319" s="10"/>
      <c r="F319" s="207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</row>
    <row r="320" ht="12.75" customHeight="1">
      <c r="A320" s="10"/>
      <c r="B320" s="10"/>
      <c r="C320" s="10"/>
      <c r="D320" s="10"/>
      <c r="E320" s="10"/>
      <c r="F320" s="207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</row>
    <row r="321" ht="12.75" customHeight="1">
      <c r="A321" s="10"/>
      <c r="B321" s="10"/>
      <c r="C321" s="10"/>
      <c r="D321" s="10"/>
      <c r="E321" s="10"/>
      <c r="F321" s="207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</row>
    <row r="322" ht="12.75" customHeight="1">
      <c r="A322" s="10"/>
      <c r="B322" s="10"/>
      <c r="C322" s="10"/>
      <c r="D322" s="10"/>
      <c r="E322" s="10"/>
      <c r="F322" s="207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</row>
    <row r="323" ht="12.75" customHeight="1">
      <c r="A323" s="10"/>
      <c r="B323" s="10"/>
      <c r="C323" s="10"/>
      <c r="D323" s="10"/>
      <c r="E323" s="10"/>
      <c r="F323" s="207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</row>
    <row r="324" ht="12.75" customHeight="1">
      <c r="A324" s="10"/>
      <c r="B324" s="10"/>
      <c r="C324" s="10"/>
      <c r="D324" s="10"/>
      <c r="E324" s="10"/>
      <c r="F324" s="207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</row>
    <row r="325" ht="12.75" customHeight="1">
      <c r="A325" s="10"/>
      <c r="B325" s="10"/>
      <c r="C325" s="10"/>
      <c r="D325" s="10"/>
      <c r="E325" s="10"/>
      <c r="F325" s="207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</row>
    <row r="326" ht="12.75" customHeight="1">
      <c r="A326" s="10"/>
      <c r="B326" s="10"/>
      <c r="C326" s="10"/>
      <c r="D326" s="10"/>
      <c r="E326" s="10"/>
      <c r="F326" s="207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</row>
    <row r="327" ht="12.75" customHeight="1">
      <c r="A327" s="10"/>
      <c r="B327" s="10"/>
      <c r="C327" s="10"/>
      <c r="D327" s="10"/>
      <c r="E327" s="10"/>
      <c r="F327" s="207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</row>
    <row r="328" ht="12.75" customHeight="1">
      <c r="A328" s="10"/>
      <c r="B328" s="10"/>
      <c r="C328" s="10"/>
      <c r="D328" s="10"/>
      <c r="E328" s="10"/>
      <c r="F328" s="207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</row>
    <row r="329" ht="12.75" customHeight="1">
      <c r="A329" s="10"/>
      <c r="B329" s="10"/>
      <c r="C329" s="10"/>
      <c r="D329" s="10"/>
      <c r="E329" s="10"/>
      <c r="F329" s="207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</row>
    <row r="330" ht="12.75" customHeight="1">
      <c r="A330" s="10"/>
      <c r="B330" s="10"/>
      <c r="C330" s="10"/>
      <c r="D330" s="10"/>
      <c r="E330" s="10"/>
      <c r="F330" s="207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</row>
    <row r="331" ht="12.75" customHeight="1">
      <c r="A331" s="10"/>
      <c r="B331" s="10"/>
      <c r="C331" s="10"/>
      <c r="D331" s="10"/>
      <c r="E331" s="10"/>
      <c r="F331" s="207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</row>
    <row r="332" ht="12.75" customHeight="1">
      <c r="A332" s="10"/>
      <c r="B332" s="10"/>
      <c r="C332" s="10"/>
      <c r="D332" s="10"/>
      <c r="E332" s="10"/>
      <c r="F332" s="207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</row>
    <row r="333" ht="12.75" customHeight="1">
      <c r="A333" s="10"/>
      <c r="B333" s="10"/>
      <c r="C333" s="10"/>
      <c r="D333" s="10"/>
      <c r="E333" s="10"/>
      <c r="F333" s="207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</row>
    <row r="334" ht="12.75" customHeight="1">
      <c r="A334" s="10"/>
      <c r="B334" s="10"/>
      <c r="C334" s="10"/>
      <c r="D334" s="10"/>
      <c r="E334" s="10"/>
      <c r="F334" s="207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</row>
    <row r="335" ht="12.75" customHeight="1">
      <c r="A335" s="10"/>
      <c r="B335" s="10"/>
      <c r="C335" s="10"/>
      <c r="D335" s="10"/>
      <c r="E335" s="10"/>
      <c r="F335" s="207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</row>
    <row r="336" ht="12.75" customHeight="1">
      <c r="A336" s="10"/>
      <c r="B336" s="10"/>
      <c r="C336" s="10"/>
      <c r="D336" s="10"/>
      <c r="E336" s="10"/>
      <c r="F336" s="207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</row>
    <row r="337" ht="12.75" customHeight="1">
      <c r="A337" s="10"/>
      <c r="B337" s="10"/>
      <c r="C337" s="10"/>
      <c r="D337" s="10"/>
      <c r="E337" s="10"/>
      <c r="F337" s="207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</row>
    <row r="338" ht="12.75" customHeight="1">
      <c r="A338" s="10"/>
      <c r="B338" s="10"/>
      <c r="C338" s="10"/>
      <c r="D338" s="10"/>
      <c r="E338" s="10"/>
      <c r="F338" s="207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</row>
    <row r="339" ht="12.75" customHeight="1">
      <c r="A339" s="10"/>
      <c r="B339" s="10"/>
      <c r="C339" s="10"/>
      <c r="D339" s="10"/>
      <c r="E339" s="10"/>
      <c r="F339" s="207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</row>
    <row r="340" ht="12.75" customHeight="1">
      <c r="A340" s="10"/>
      <c r="B340" s="10"/>
      <c r="C340" s="10"/>
      <c r="D340" s="10"/>
      <c r="E340" s="10"/>
      <c r="F340" s="207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</row>
    <row r="341" ht="12.75" customHeight="1">
      <c r="A341" s="10"/>
      <c r="B341" s="10"/>
      <c r="C341" s="10"/>
      <c r="D341" s="10"/>
      <c r="E341" s="10"/>
      <c r="F341" s="207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</row>
    <row r="342" ht="12.75" customHeight="1">
      <c r="A342" s="10"/>
      <c r="B342" s="10"/>
      <c r="C342" s="10"/>
      <c r="D342" s="10"/>
      <c r="E342" s="10"/>
      <c r="F342" s="207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</row>
    <row r="343" ht="12.75" customHeight="1">
      <c r="A343" s="10"/>
      <c r="B343" s="10"/>
      <c r="C343" s="10"/>
      <c r="D343" s="10"/>
      <c r="E343" s="10"/>
      <c r="F343" s="207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</row>
    <row r="344" ht="12.75" customHeight="1">
      <c r="A344" s="10"/>
      <c r="B344" s="10"/>
      <c r="C344" s="10"/>
      <c r="D344" s="10"/>
      <c r="E344" s="10"/>
      <c r="F344" s="207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</row>
    <row r="345" ht="12.75" customHeight="1">
      <c r="A345" s="10"/>
      <c r="B345" s="10"/>
      <c r="C345" s="10"/>
      <c r="D345" s="10"/>
      <c r="E345" s="10"/>
      <c r="F345" s="207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</row>
    <row r="346" ht="12.75" customHeight="1">
      <c r="A346" s="10"/>
      <c r="B346" s="10"/>
      <c r="C346" s="10"/>
      <c r="D346" s="10"/>
      <c r="E346" s="10"/>
      <c r="F346" s="207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</row>
    <row r="347" ht="12.75" customHeight="1">
      <c r="A347" s="10"/>
      <c r="B347" s="10"/>
      <c r="C347" s="10"/>
      <c r="D347" s="10"/>
      <c r="E347" s="10"/>
      <c r="F347" s="207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</row>
    <row r="348" ht="12.75" customHeight="1">
      <c r="A348" s="10"/>
      <c r="B348" s="10"/>
      <c r="C348" s="10"/>
      <c r="D348" s="10"/>
      <c r="E348" s="10"/>
      <c r="F348" s="207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</row>
    <row r="349" ht="12.75" customHeight="1">
      <c r="A349" s="10"/>
      <c r="B349" s="10"/>
      <c r="C349" s="10"/>
      <c r="D349" s="10"/>
      <c r="E349" s="10"/>
      <c r="F349" s="207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</row>
    <row r="350" ht="12.75" customHeight="1">
      <c r="A350" s="10"/>
      <c r="B350" s="10"/>
      <c r="C350" s="10"/>
      <c r="D350" s="10"/>
      <c r="E350" s="10"/>
      <c r="F350" s="207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</row>
    <row r="351" ht="12.75" customHeight="1">
      <c r="A351" s="10"/>
      <c r="B351" s="10"/>
      <c r="C351" s="10"/>
      <c r="D351" s="10"/>
      <c r="E351" s="10"/>
      <c r="F351" s="207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</row>
    <row r="352" ht="12.75" customHeight="1">
      <c r="A352" s="10"/>
      <c r="B352" s="10"/>
      <c r="C352" s="10"/>
      <c r="D352" s="10"/>
      <c r="E352" s="10"/>
      <c r="F352" s="207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</row>
    <row r="353" ht="12.75" customHeight="1">
      <c r="A353" s="10"/>
      <c r="B353" s="10"/>
      <c r="C353" s="10"/>
      <c r="D353" s="10"/>
      <c r="E353" s="10"/>
      <c r="F353" s="207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</row>
    <row r="354" ht="12.75" customHeight="1">
      <c r="A354" s="10"/>
      <c r="B354" s="10"/>
      <c r="C354" s="10"/>
      <c r="D354" s="10"/>
      <c r="E354" s="10"/>
      <c r="F354" s="207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</row>
    <row r="355" ht="12.75" customHeight="1">
      <c r="A355" s="10"/>
      <c r="B355" s="10"/>
      <c r="C355" s="10"/>
      <c r="D355" s="10"/>
      <c r="E355" s="10"/>
      <c r="F355" s="207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</row>
    <row r="356" ht="12.75" customHeight="1">
      <c r="A356" s="10"/>
      <c r="B356" s="10"/>
      <c r="C356" s="10"/>
      <c r="D356" s="10"/>
      <c r="E356" s="10"/>
      <c r="F356" s="207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</row>
    <row r="357" ht="12.75" customHeight="1">
      <c r="A357" s="10"/>
      <c r="B357" s="10"/>
      <c r="C357" s="10"/>
      <c r="D357" s="10"/>
      <c r="E357" s="10"/>
      <c r="F357" s="207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</row>
    <row r="358" ht="12.75" customHeight="1">
      <c r="A358" s="10"/>
      <c r="B358" s="10"/>
      <c r="C358" s="10"/>
      <c r="D358" s="10"/>
      <c r="E358" s="10"/>
      <c r="F358" s="207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</row>
    <row r="359" ht="12.75" customHeight="1">
      <c r="A359" s="10"/>
      <c r="B359" s="10"/>
      <c r="C359" s="10"/>
      <c r="D359" s="10"/>
      <c r="E359" s="10"/>
      <c r="F359" s="207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</row>
    <row r="360" ht="12.75" customHeight="1">
      <c r="A360" s="10"/>
      <c r="B360" s="10"/>
      <c r="C360" s="10"/>
      <c r="D360" s="10"/>
      <c r="E360" s="10"/>
      <c r="F360" s="207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</row>
    <row r="361" ht="12.75" customHeight="1">
      <c r="A361" s="10"/>
      <c r="B361" s="10"/>
      <c r="C361" s="10"/>
      <c r="D361" s="10"/>
      <c r="E361" s="10"/>
      <c r="F361" s="207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</row>
    <row r="362" ht="12.75" customHeight="1">
      <c r="A362" s="10"/>
      <c r="B362" s="10"/>
      <c r="C362" s="10"/>
      <c r="D362" s="10"/>
      <c r="E362" s="10"/>
      <c r="F362" s="207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</row>
    <row r="363" ht="12.75" customHeight="1">
      <c r="A363" s="10"/>
      <c r="B363" s="10"/>
      <c r="C363" s="10"/>
      <c r="D363" s="10"/>
      <c r="E363" s="10"/>
      <c r="F363" s="207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</row>
    <row r="364" ht="12.75" customHeight="1">
      <c r="A364" s="10"/>
      <c r="B364" s="10"/>
      <c r="C364" s="10"/>
      <c r="D364" s="10"/>
      <c r="E364" s="10"/>
      <c r="F364" s="207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</row>
    <row r="365" ht="12.75" customHeight="1">
      <c r="A365" s="10"/>
      <c r="B365" s="10"/>
      <c r="C365" s="10"/>
      <c r="D365" s="10"/>
      <c r="E365" s="10"/>
      <c r="F365" s="207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</row>
    <row r="366" ht="12.75" customHeight="1">
      <c r="A366" s="10"/>
      <c r="B366" s="10"/>
      <c r="C366" s="10"/>
      <c r="D366" s="10"/>
      <c r="E366" s="10"/>
      <c r="F366" s="207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</row>
    <row r="367" ht="12.75" customHeight="1">
      <c r="A367" s="10"/>
      <c r="B367" s="10"/>
      <c r="C367" s="10"/>
      <c r="D367" s="10"/>
      <c r="E367" s="10"/>
      <c r="F367" s="207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</row>
    <row r="368" ht="12.75" customHeight="1">
      <c r="A368" s="10"/>
      <c r="B368" s="10"/>
      <c r="C368" s="10"/>
      <c r="D368" s="10"/>
      <c r="E368" s="10"/>
      <c r="F368" s="207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</row>
    <row r="369" ht="12.75" customHeight="1">
      <c r="A369" s="10"/>
      <c r="B369" s="10"/>
      <c r="C369" s="10"/>
      <c r="D369" s="10"/>
      <c r="E369" s="10"/>
      <c r="F369" s="207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</row>
    <row r="370" ht="12.75" customHeight="1">
      <c r="A370" s="10"/>
      <c r="B370" s="10"/>
      <c r="C370" s="10"/>
      <c r="D370" s="10"/>
      <c r="E370" s="10"/>
      <c r="F370" s="207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</row>
    <row r="371" ht="12.75" customHeight="1">
      <c r="A371" s="10"/>
      <c r="B371" s="10"/>
      <c r="C371" s="10"/>
      <c r="D371" s="10"/>
      <c r="E371" s="10"/>
      <c r="F371" s="207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</row>
    <row r="372" ht="12.75" customHeight="1">
      <c r="A372" s="10"/>
      <c r="B372" s="10"/>
      <c r="C372" s="10"/>
      <c r="D372" s="10"/>
      <c r="E372" s="10"/>
      <c r="F372" s="207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</row>
    <row r="373" ht="12.75" customHeight="1">
      <c r="A373" s="10"/>
      <c r="B373" s="10"/>
      <c r="C373" s="10"/>
      <c r="D373" s="10"/>
      <c r="E373" s="10"/>
      <c r="F373" s="207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</row>
    <row r="374" ht="12.75" customHeight="1">
      <c r="A374" s="10"/>
      <c r="B374" s="10"/>
      <c r="C374" s="10"/>
      <c r="D374" s="10"/>
      <c r="E374" s="10"/>
      <c r="F374" s="207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</row>
    <row r="375" ht="12.75" customHeight="1">
      <c r="A375" s="10"/>
      <c r="B375" s="10"/>
      <c r="C375" s="10"/>
      <c r="D375" s="10"/>
      <c r="E375" s="10"/>
      <c r="F375" s="207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</row>
    <row r="376" ht="12.75" customHeight="1">
      <c r="A376" s="10"/>
      <c r="B376" s="10"/>
      <c r="C376" s="10"/>
      <c r="D376" s="10"/>
      <c r="E376" s="10"/>
      <c r="F376" s="207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</row>
    <row r="377" ht="12.75" customHeight="1">
      <c r="A377" s="10"/>
      <c r="B377" s="10"/>
      <c r="C377" s="10"/>
      <c r="D377" s="10"/>
      <c r="E377" s="10"/>
      <c r="F377" s="207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</row>
    <row r="378" ht="12.75" customHeight="1">
      <c r="A378" s="10"/>
      <c r="B378" s="10"/>
      <c r="C378" s="10"/>
      <c r="D378" s="10"/>
      <c r="E378" s="10"/>
      <c r="F378" s="207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</row>
    <row r="379" ht="12.75" customHeight="1">
      <c r="A379" s="10"/>
      <c r="B379" s="10"/>
      <c r="C379" s="10"/>
      <c r="D379" s="10"/>
      <c r="E379" s="10"/>
      <c r="F379" s="207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</row>
    <row r="380" ht="12.75" customHeight="1">
      <c r="A380" s="10"/>
      <c r="B380" s="10"/>
      <c r="C380" s="10"/>
      <c r="D380" s="10"/>
      <c r="E380" s="10"/>
      <c r="F380" s="207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</row>
    <row r="381" ht="12.75" customHeight="1">
      <c r="A381" s="10"/>
      <c r="B381" s="10"/>
      <c r="C381" s="10"/>
      <c r="D381" s="10"/>
      <c r="E381" s="10"/>
      <c r="F381" s="207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</row>
    <row r="382" ht="12.75" customHeight="1">
      <c r="A382" s="10"/>
      <c r="B382" s="10"/>
      <c r="C382" s="10"/>
      <c r="D382" s="10"/>
      <c r="E382" s="10"/>
      <c r="F382" s="207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</row>
    <row r="383" ht="12.75" customHeight="1">
      <c r="A383" s="10"/>
      <c r="B383" s="10"/>
      <c r="C383" s="10"/>
      <c r="D383" s="10"/>
      <c r="E383" s="10"/>
      <c r="F383" s="207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</row>
    <row r="384" ht="12.75" customHeight="1">
      <c r="A384" s="10"/>
      <c r="B384" s="10"/>
      <c r="C384" s="10"/>
      <c r="D384" s="10"/>
      <c r="E384" s="10"/>
      <c r="F384" s="207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</row>
    <row r="385" ht="12.75" customHeight="1">
      <c r="A385" s="10"/>
      <c r="B385" s="10"/>
      <c r="C385" s="10"/>
      <c r="D385" s="10"/>
      <c r="E385" s="10"/>
      <c r="F385" s="207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</row>
    <row r="386" ht="12.75" customHeight="1">
      <c r="A386" s="10"/>
      <c r="B386" s="10"/>
      <c r="C386" s="10"/>
      <c r="D386" s="10"/>
      <c r="E386" s="10"/>
      <c r="F386" s="207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</row>
    <row r="387" ht="12.75" customHeight="1">
      <c r="A387" s="10"/>
      <c r="B387" s="10"/>
      <c r="C387" s="10"/>
      <c r="D387" s="10"/>
      <c r="E387" s="10"/>
      <c r="F387" s="207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</row>
    <row r="388" ht="12.75" customHeight="1">
      <c r="A388" s="10"/>
      <c r="B388" s="10"/>
      <c r="C388" s="10"/>
      <c r="D388" s="10"/>
      <c r="E388" s="10"/>
      <c r="F388" s="207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</row>
    <row r="389" ht="12.75" customHeight="1">
      <c r="A389" s="10"/>
      <c r="B389" s="10"/>
      <c r="C389" s="10"/>
      <c r="D389" s="10"/>
      <c r="E389" s="10"/>
      <c r="F389" s="207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</row>
    <row r="390" ht="12.75" customHeight="1">
      <c r="A390" s="10"/>
      <c r="B390" s="10"/>
      <c r="C390" s="10"/>
      <c r="D390" s="10"/>
      <c r="E390" s="10"/>
      <c r="F390" s="207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</row>
    <row r="391" ht="12.75" customHeight="1">
      <c r="A391" s="10"/>
      <c r="B391" s="10"/>
      <c r="C391" s="10"/>
      <c r="D391" s="10"/>
      <c r="E391" s="10"/>
      <c r="F391" s="207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</row>
    <row r="392" ht="12.75" customHeight="1">
      <c r="A392" s="10"/>
      <c r="B392" s="10"/>
      <c r="C392" s="10"/>
      <c r="D392" s="10"/>
      <c r="E392" s="10"/>
      <c r="F392" s="207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</row>
    <row r="393" ht="12.75" customHeight="1">
      <c r="A393" s="10"/>
      <c r="B393" s="10"/>
      <c r="C393" s="10"/>
      <c r="D393" s="10"/>
      <c r="E393" s="10"/>
      <c r="F393" s="207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</row>
    <row r="394" ht="12.75" customHeight="1">
      <c r="A394" s="10"/>
      <c r="B394" s="10"/>
      <c r="C394" s="10"/>
      <c r="D394" s="10"/>
      <c r="E394" s="10"/>
      <c r="F394" s="207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</row>
    <row r="395" ht="12.75" customHeight="1">
      <c r="A395" s="10"/>
      <c r="B395" s="10"/>
      <c r="C395" s="10"/>
      <c r="D395" s="10"/>
      <c r="E395" s="10"/>
      <c r="F395" s="207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</row>
    <row r="396" ht="12.75" customHeight="1">
      <c r="A396" s="10"/>
      <c r="B396" s="10"/>
      <c r="C396" s="10"/>
      <c r="D396" s="10"/>
      <c r="E396" s="10"/>
      <c r="F396" s="207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</row>
    <row r="397" ht="12.75" customHeight="1">
      <c r="A397" s="10"/>
      <c r="B397" s="10"/>
      <c r="C397" s="10"/>
      <c r="D397" s="10"/>
      <c r="E397" s="10"/>
      <c r="F397" s="207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</row>
    <row r="398" ht="12.75" customHeight="1">
      <c r="A398" s="10"/>
      <c r="B398" s="10"/>
      <c r="C398" s="10"/>
      <c r="D398" s="10"/>
      <c r="E398" s="10"/>
      <c r="F398" s="207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</row>
    <row r="399" ht="12.75" customHeight="1">
      <c r="A399" s="10"/>
      <c r="B399" s="10"/>
      <c r="C399" s="10"/>
      <c r="D399" s="10"/>
      <c r="E399" s="10"/>
      <c r="F399" s="207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</row>
    <row r="400" ht="12.75" customHeight="1">
      <c r="A400" s="10"/>
      <c r="B400" s="10"/>
      <c r="C400" s="10"/>
      <c r="D400" s="10"/>
      <c r="E400" s="10"/>
      <c r="F400" s="207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</row>
    <row r="401" ht="12.75" customHeight="1">
      <c r="A401" s="10"/>
      <c r="B401" s="10"/>
      <c r="C401" s="10"/>
      <c r="D401" s="10"/>
      <c r="E401" s="10"/>
      <c r="F401" s="207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</row>
    <row r="402" ht="12.75" customHeight="1">
      <c r="A402" s="10"/>
      <c r="B402" s="10"/>
      <c r="C402" s="10"/>
      <c r="D402" s="10"/>
      <c r="E402" s="10"/>
      <c r="F402" s="207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</row>
    <row r="403" ht="12.75" customHeight="1">
      <c r="A403" s="10"/>
      <c r="B403" s="10"/>
      <c r="C403" s="10"/>
      <c r="D403" s="10"/>
      <c r="E403" s="10"/>
      <c r="F403" s="207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</row>
    <row r="404" ht="12.75" customHeight="1">
      <c r="A404" s="10"/>
      <c r="B404" s="10"/>
      <c r="C404" s="10"/>
      <c r="D404" s="10"/>
      <c r="E404" s="10"/>
      <c r="F404" s="207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</row>
    <row r="405" ht="12.75" customHeight="1">
      <c r="A405" s="10"/>
      <c r="B405" s="10"/>
      <c r="C405" s="10"/>
      <c r="D405" s="10"/>
      <c r="E405" s="10"/>
      <c r="F405" s="207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</row>
    <row r="406" ht="12.75" customHeight="1">
      <c r="A406" s="10"/>
      <c r="B406" s="10"/>
      <c r="C406" s="10"/>
      <c r="D406" s="10"/>
      <c r="E406" s="10"/>
      <c r="F406" s="207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</row>
    <row r="407" ht="12.75" customHeight="1">
      <c r="A407" s="10"/>
      <c r="B407" s="10"/>
      <c r="C407" s="10"/>
      <c r="D407" s="10"/>
      <c r="E407" s="10"/>
      <c r="F407" s="207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</row>
    <row r="408" ht="12.75" customHeight="1">
      <c r="A408" s="10"/>
      <c r="B408" s="10"/>
      <c r="C408" s="10"/>
      <c r="D408" s="10"/>
      <c r="E408" s="10"/>
      <c r="F408" s="207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</row>
    <row r="409" ht="12.75" customHeight="1">
      <c r="A409" s="10"/>
      <c r="B409" s="10"/>
      <c r="C409" s="10"/>
      <c r="D409" s="10"/>
      <c r="E409" s="10"/>
      <c r="F409" s="207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</row>
    <row r="410" ht="12.75" customHeight="1">
      <c r="A410" s="10"/>
      <c r="B410" s="10"/>
      <c r="C410" s="10"/>
      <c r="D410" s="10"/>
      <c r="E410" s="10"/>
      <c r="F410" s="207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</row>
    <row r="411" ht="12.75" customHeight="1">
      <c r="A411" s="10"/>
      <c r="B411" s="10"/>
      <c r="C411" s="10"/>
      <c r="D411" s="10"/>
      <c r="E411" s="10"/>
      <c r="F411" s="207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</row>
    <row r="412" ht="12.75" customHeight="1">
      <c r="A412" s="10"/>
      <c r="B412" s="10"/>
      <c r="C412" s="10"/>
      <c r="D412" s="10"/>
      <c r="E412" s="10"/>
      <c r="F412" s="207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</row>
    <row r="413" ht="12.75" customHeight="1">
      <c r="A413" s="10"/>
      <c r="B413" s="10"/>
      <c r="C413" s="10"/>
      <c r="D413" s="10"/>
      <c r="E413" s="10"/>
      <c r="F413" s="207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</row>
    <row r="414" ht="12.75" customHeight="1">
      <c r="A414" s="10"/>
      <c r="B414" s="10"/>
      <c r="C414" s="10"/>
      <c r="D414" s="10"/>
      <c r="E414" s="10"/>
      <c r="F414" s="207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</row>
    <row r="415" ht="12.75" customHeight="1">
      <c r="A415" s="10"/>
      <c r="B415" s="10"/>
      <c r="C415" s="10"/>
      <c r="D415" s="10"/>
      <c r="E415" s="10"/>
      <c r="F415" s="207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</row>
    <row r="416" ht="12.75" customHeight="1">
      <c r="A416" s="10"/>
      <c r="B416" s="10"/>
      <c r="C416" s="10"/>
      <c r="D416" s="10"/>
      <c r="E416" s="10"/>
      <c r="F416" s="207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</row>
    <row r="417" ht="12.75" customHeight="1">
      <c r="A417" s="10"/>
      <c r="B417" s="10"/>
      <c r="C417" s="10"/>
      <c r="D417" s="10"/>
      <c r="E417" s="10"/>
      <c r="F417" s="207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</row>
    <row r="418" ht="12.75" customHeight="1">
      <c r="A418" s="10"/>
      <c r="B418" s="10"/>
      <c r="C418" s="10"/>
      <c r="D418" s="10"/>
      <c r="E418" s="10"/>
      <c r="F418" s="207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</row>
    <row r="419" ht="12.75" customHeight="1">
      <c r="A419" s="10"/>
      <c r="B419" s="10"/>
      <c r="C419" s="10"/>
      <c r="D419" s="10"/>
      <c r="E419" s="10"/>
      <c r="F419" s="207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</row>
    <row r="420" ht="12.75" customHeight="1">
      <c r="A420" s="10"/>
      <c r="B420" s="10"/>
      <c r="C420" s="10"/>
      <c r="D420" s="10"/>
      <c r="E420" s="10"/>
      <c r="F420" s="207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</row>
    <row r="421" ht="12.75" customHeight="1">
      <c r="A421" s="10"/>
      <c r="B421" s="10"/>
      <c r="C421" s="10"/>
      <c r="D421" s="10"/>
      <c r="E421" s="10"/>
      <c r="F421" s="207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</row>
    <row r="422" ht="12.75" customHeight="1">
      <c r="A422" s="10"/>
      <c r="B422" s="10"/>
      <c r="C422" s="10"/>
      <c r="D422" s="10"/>
      <c r="E422" s="10"/>
      <c r="F422" s="207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</row>
    <row r="423" ht="12.75" customHeight="1">
      <c r="A423" s="10"/>
      <c r="B423" s="10"/>
      <c r="C423" s="10"/>
      <c r="D423" s="10"/>
      <c r="E423" s="10"/>
      <c r="F423" s="207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</row>
    <row r="424" ht="12.75" customHeight="1">
      <c r="A424" s="10"/>
      <c r="B424" s="10"/>
      <c r="C424" s="10"/>
      <c r="D424" s="10"/>
      <c r="E424" s="10"/>
      <c r="F424" s="207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</row>
    <row r="425" ht="12.75" customHeight="1">
      <c r="A425" s="10"/>
      <c r="B425" s="10"/>
      <c r="C425" s="10"/>
      <c r="D425" s="10"/>
      <c r="E425" s="10"/>
      <c r="F425" s="207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</row>
    <row r="426" ht="12.75" customHeight="1">
      <c r="A426" s="10"/>
      <c r="B426" s="10"/>
      <c r="C426" s="10"/>
      <c r="D426" s="10"/>
      <c r="E426" s="10"/>
      <c r="F426" s="207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</row>
    <row r="427" ht="12.75" customHeight="1">
      <c r="A427" s="10"/>
      <c r="B427" s="10"/>
      <c r="C427" s="10"/>
      <c r="D427" s="10"/>
      <c r="E427" s="10"/>
      <c r="F427" s="207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</row>
    <row r="428" ht="12.75" customHeight="1">
      <c r="A428" s="10"/>
      <c r="B428" s="10"/>
      <c r="C428" s="10"/>
      <c r="D428" s="10"/>
      <c r="E428" s="10"/>
      <c r="F428" s="207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</row>
    <row r="429" ht="12.75" customHeight="1">
      <c r="A429" s="10"/>
      <c r="B429" s="10"/>
      <c r="C429" s="10"/>
      <c r="D429" s="10"/>
      <c r="E429" s="10"/>
      <c r="F429" s="207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</row>
    <row r="430" ht="12.75" customHeight="1">
      <c r="A430" s="10"/>
      <c r="B430" s="10"/>
      <c r="C430" s="10"/>
      <c r="D430" s="10"/>
      <c r="E430" s="10"/>
      <c r="F430" s="207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</row>
    <row r="431" ht="12.75" customHeight="1">
      <c r="A431" s="10"/>
      <c r="B431" s="10"/>
      <c r="C431" s="10"/>
      <c r="D431" s="10"/>
      <c r="E431" s="10"/>
      <c r="F431" s="207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</row>
    <row r="432" ht="12.75" customHeight="1">
      <c r="A432" s="10"/>
      <c r="B432" s="10"/>
      <c r="C432" s="10"/>
      <c r="D432" s="10"/>
      <c r="E432" s="10"/>
      <c r="F432" s="207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</row>
    <row r="433" ht="12.75" customHeight="1">
      <c r="A433" s="10"/>
      <c r="B433" s="10"/>
      <c r="C433" s="10"/>
      <c r="D433" s="10"/>
      <c r="E433" s="10"/>
      <c r="F433" s="207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</row>
    <row r="434" ht="12.75" customHeight="1">
      <c r="A434" s="10"/>
      <c r="B434" s="10"/>
      <c r="C434" s="10"/>
      <c r="D434" s="10"/>
      <c r="E434" s="10"/>
      <c r="F434" s="207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</row>
    <row r="435" ht="12.75" customHeight="1">
      <c r="A435" s="10"/>
      <c r="B435" s="10"/>
      <c r="C435" s="10"/>
      <c r="D435" s="10"/>
      <c r="E435" s="10"/>
      <c r="F435" s="207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</row>
    <row r="436" ht="12.75" customHeight="1">
      <c r="A436" s="10"/>
      <c r="B436" s="10"/>
      <c r="C436" s="10"/>
      <c r="D436" s="10"/>
      <c r="E436" s="10"/>
      <c r="F436" s="207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</row>
    <row r="437" ht="12.75" customHeight="1">
      <c r="A437" s="10"/>
      <c r="B437" s="10"/>
      <c r="C437" s="10"/>
      <c r="D437" s="10"/>
      <c r="E437" s="10"/>
      <c r="F437" s="207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</row>
    <row r="438" ht="12.75" customHeight="1">
      <c r="A438" s="10"/>
      <c r="B438" s="10"/>
      <c r="C438" s="10"/>
      <c r="D438" s="10"/>
      <c r="E438" s="10"/>
      <c r="F438" s="207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</row>
    <row r="439" ht="12.75" customHeight="1">
      <c r="A439" s="10"/>
      <c r="B439" s="10"/>
      <c r="C439" s="10"/>
      <c r="D439" s="10"/>
      <c r="E439" s="10"/>
      <c r="F439" s="207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</row>
    <row r="440" ht="12.75" customHeight="1">
      <c r="A440" s="10"/>
      <c r="B440" s="10"/>
      <c r="C440" s="10"/>
      <c r="D440" s="10"/>
      <c r="E440" s="10"/>
      <c r="F440" s="207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</row>
    <row r="441" ht="12.75" customHeight="1">
      <c r="A441" s="10"/>
      <c r="B441" s="10"/>
      <c r="C441" s="10"/>
      <c r="D441" s="10"/>
      <c r="E441" s="10"/>
      <c r="F441" s="207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</row>
    <row r="442" ht="12.75" customHeight="1">
      <c r="A442" s="10"/>
      <c r="B442" s="10"/>
      <c r="C442" s="10"/>
      <c r="D442" s="10"/>
      <c r="E442" s="10"/>
      <c r="F442" s="207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</row>
    <row r="443" ht="12.75" customHeight="1">
      <c r="A443" s="10"/>
      <c r="B443" s="10"/>
      <c r="C443" s="10"/>
      <c r="D443" s="10"/>
      <c r="E443" s="10"/>
      <c r="F443" s="207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</row>
    <row r="444" ht="12.75" customHeight="1">
      <c r="A444" s="10"/>
      <c r="B444" s="10"/>
      <c r="C444" s="10"/>
      <c r="D444" s="10"/>
      <c r="E444" s="10"/>
      <c r="F444" s="207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</row>
    <row r="445" ht="12.75" customHeight="1">
      <c r="A445" s="10"/>
      <c r="B445" s="10"/>
      <c r="C445" s="10"/>
      <c r="D445" s="10"/>
      <c r="E445" s="10"/>
      <c r="F445" s="207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</row>
    <row r="446" ht="12.75" customHeight="1">
      <c r="A446" s="10"/>
      <c r="B446" s="10"/>
      <c r="C446" s="10"/>
      <c r="D446" s="10"/>
      <c r="E446" s="10"/>
      <c r="F446" s="207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</row>
    <row r="447" ht="12.75" customHeight="1">
      <c r="A447" s="10"/>
      <c r="B447" s="10"/>
      <c r="C447" s="10"/>
      <c r="D447" s="10"/>
      <c r="E447" s="10"/>
      <c r="F447" s="207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</row>
    <row r="448" ht="12.75" customHeight="1">
      <c r="A448" s="10"/>
      <c r="B448" s="10"/>
      <c r="C448" s="10"/>
      <c r="D448" s="10"/>
      <c r="E448" s="10"/>
      <c r="F448" s="207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</row>
    <row r="449" ht="12.75" customHeight="1">
      <c r="A449" s="10"/>
      <c r="B449" s="10"/>
      <c r="C449" s="10"/>
      <c r="D449" s="10"/>
      <c r="E449" s="10"/>
      <c r="F449" s="207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</row>
    <row r="450" ht="12.75" customHeight="1">
      <c r="A450" s="10"/>
      <c r="B450" s="10"/>
      <c r="C450" s="10"/>
      <c r="D450" s="10"/>
      <c r="E450" s="10"/>
      <c r="F450" s="207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</row>
    <row r="451" ht="12.75" customHeight="1">
      <c r="A451" s="10"/>
      <c r="B451" s="10"/>
      <c r="C451" s="10"/>
      <c r="D451" s="10"/>
      <c r="E451" s="10"/>
      <c r="F451" s="207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</row>
    <row r="452" ht="12.75" customHeight="1">
      <c r="A452" s="10"/>
      <c r="B452" s="10"/>
      <c r="C452" s="10"/>
      <c r="D452" s="10"/>
      <c r="E452" s="10"/>
      <c r="F452" s="207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</row>
    <row r="453" ht="12.75" customHeight="1">
      <c r="A453" s="10"/>
      <c r="B453" s="10"/>
      <c r="C453" s="10"/>
      <c r="D453" s="10"/>
      <c r="E453" s="10"/>
      <c r="F453" s="207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</row>
    <row r="454" ht="12.75" customHeight="1">
      <c r="A454" s="10"/>
      <c r="B454" s="10"/>
      <c r="C454" s="10"/>
      <c r="D454" s="10"/>
      <c r="E454" s="10"/>
      <c r="F454" s="207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</row>
    <row r="455" ht="12.75" customHeight="1">
      <c r="A455" s="10"/>
      <c r="B455" s="10"/>
      <c r="C455" s="10"/>
      <c r="D455" s="10"/>
      <c r="E455" s="10"/>
      <c r="F455" s="207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</row>
    <row r="456" ht="12.75" customHeight="1">
      <c r="A456" s="10"/>
      <c r="B456" s="10"/>
      <c r="C456" s="10"/>
      <c r="D456" s="10"/>
      <c r="E456" s="10"/>
      <c r="F456" s="207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</row>
    <row r="457" ht="12.75" customHeight="1">
      <c r="A457" s="10"/>
      <c r="B457" s="10"/>
      <c r="C457" s="10"/>
      <c r="D457" s="10"/>
      <c r="E457" s="10"/>
      <c r="F457" s="207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</row>
    <row r="458" ht="12.75" customHeight="1">
      <c r="A458" s="10"/>
      <c r="B458" s="10"/>
      <c r="C458" s="10"/>
      <c r="D458" s="10"/>
      <c r="E458" s="10"/>
      <c r="F458" s="207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</row>
    <row r="459" ht="12.75" customHeight="1">
      <c r="A459" s="10"/>
      <c r="B459" s="10"/>
      <c r="C459" s="10"/>
      <c r="D459" s="10"/>
      <c r="E459" s="10"/>
      <c r="F459" s="207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</row>
    <row r="460" ht="12.75" customHeight="1">
      <c r="A460" s="10"/>
      <c r="B460" s="10"/>
      <c r="C460" s="10"/>
      <c r="D460" s="10"/>
      <c r="E460" s="10"/>
      <c r="F460" s="207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</row>
    <row r="461" ht="12.75" customHeight="1">
      <c r="A461" s="10"/>
      <c r="B461" s="10"/>
      <c r="C461" s="10"/>
      <c r="D461" s="10"/>
      <c r="E461" s="10"/>
      <c r="F461" s="207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</row>
    <row r="462" ht="12.75" customHeight="1">
      <c r="A462" s="10"/>
      <c r="B462" s="10"/>
      <c r="C462" s="10"/>
      <c r="D462" s="10"/>
      <c r="E462" s="10"/>
      <c r="F462" s="207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</row>
    <row r="463" ht="12.75" customHeight="1">
      <c r="A463" s="10"/>
      <c r="B463" s="10"/>
      <c r="C463" s="10"/>
      <c r="D463" s="10"/>
      <c r="E463" s="10"/>
      <c r="F463" s="207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</row>
    <row r="464" ht="12.75" customHeight="1">
      <c r="A464" s="10"/>
      <c r="B464" s="10"/>
      <c r="C464" s="10"/>
      <c r="D464" s="10"/>
      <c r="E464" s="10"/>
      <c r="F464" s="207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</row>
    <row r="465" ht="12.75" customHeight="1">
      <c r="A465" s="10"/>
      <c r="B465" s="10"/>
      <c r="C465" s="10"/>
      <c r="D465" s="10"/>
      <c r="E465" s="10"/>
      <c r="F465" s="207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</row>
    <row r="466" ht="12.75" customHeight="1">
      <c r="A466" s="10"/>
      <c r="B466" s="10"/>
      <c r="C466" s="10"/>
      <c r="D466" s="10"/>
      <c r="E466" s="10"/>
      <c r="F466" s="207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</row>
    <row r="467" ht="12.75" customHeight="1">
      <c r="A467" s="10"/>
      <c r="B467" s="10"/>
      <c r="C467" s="10"/>
      <c r="D467" s="10"/>
      <c r="E467" s="10"/>
      <c r="F467" s="207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</row>
    <row r="468" ht="12.75" customHeight="1">
      <c r="A468" s="10"/>
      <c r="B468" s="10"/>
      <c r="C468" s="10"/>
      <c r="D468" s="10"/>
      <c r="E468" s="10"/>
      <c r="F468" s="207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</row>
    <row r="469" ht="12.75" customHeight="1">
      <c r="A469" s="10"/>
      <c r="B469" s="10"/>
      <c r="C469" s="10"/>
      <c r="D469" s="10"/>
      <c r="E469" s="10"/>
      <c r="F469" s="207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</row>
    <row r="470" ht="12.75" customHeight="1">
      <c r="A470" s="10"/>
      <c r="B470" s="10"/>
      <c r="C470" s="10"/>
      <c r="D470" s="10"/>
      <c r="E470" s="10"/>
      <c r="F470" s="207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</row>
    <row r="471" ht="12.75" customHeight="1">
      <c r="A471" s="10"/>
      <c r="B471" s="10"/>
      <c r="C471" s="10"/>
      <c r="D471" s="10"/>
      <c r="E471" s="10"/>
      <c r="F471" s="207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</row>
    <row r="472" ht="12.75" customHeight="1">
      <c r="A472" s="10"/>
      <c r="B472" s="10"/>
      <c r="C472" s="10"/>
      <c r="D472" s="10"/>
      <c r="E472" s="10"/>
      <c r="F472" s="207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</row>
    <row r="473" ht="12.75" customHeight="1">
      <c r="A473" s="10"/>
      <c r="B473" s="10"/>
      <c r="C473" s="10"/>
      <c r="D473" s="10"/>
      <c r="E473" s="10"/>
      <c r="F473" s="207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</row>
    <row r="474" ht="12.75" customHeight="1">
      <c r="A474" s="10"/>
      <c r="B474" s="10"/>
      <c r="C474" s="10"/>
      <c r="D474" s="10"/>
      <c r="E474" s="10"/>
      <c r="F474" s="207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</row>
    <row r="475" ht="12.75" customHeight="1">
      <c r="A475" s="10"/>
      <c r="B475" s="10"/>
      <c r="C475" s="10"/>
      <c r="D475" s="10"/>
      <c r="E475" s="10"/>
      <c r="F475" s="207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</row>
    <row r="476" ht="12.75" customHeight="1">
      <c r="A476" s="10"/>
      <c r="B476" s="10"/>
      <c r="C476" s="10"/>
      <c r="D476" s="10"/>
      <c r="E476" s="10"/>
      <c r="F476" s="207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</row>
    <row r="477" ht="12.75" customHeight="1">
      <c r="A477" s="10"/>
      <c r="B477" s="10"/>
      <c r="C477" s="10"/>
      <c r="D477" s="10"/>
      <c r="E477" s="10"/>
      <c r="F477" s="207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</row>
    <row r="478" ht="12.75" customHeight="1">
      <c r="A478" s="10"/>
      <c r="B478" s="10"/>
      <c r="C478" s="10"/>
      <c r="D478" s="10"/>
      <c r="E478" s="10"/>
      <c r="F478" s="207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</row>
    <row r="479" ht="12.75" customHeight="1">
      <c r="A479" s="10"/>
      <c r="B479" s="10"/>
      <c r="C479" s="10"/>
      <c r="D479" s="10"/>
      <c r="E479" s="10"/>
      <c r="F479" s="207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</row>
    <row r="480" ht="12.75" customHeight="1">
      <c r="A480" s="10"/>
      <c r="B480" s="10"/>
      <c r="C480" s="10"/>
      <c r="D480" s="10"/>
      <c r="E480" s="10"/>
      <c r="F480" s="207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</row>
    <row r="481" ht="12.75" customHeight="1">
      <c r="A481" s="10"/>
      <c r="B481" s="10"/>
      <c r="C481" s="10"/>
      <c r="D481" s="10"/>
      <c r="E481" s="10"/>
      <c r="F481" s="207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</row>
    <row r="482" ht="12.75" customHeight="1">
      <c r="A482" s="10"/>
      <c r="B482" s="10"/>
      <c r="C482" s="10"/>
      <c r="D482" s="10"/>
      <c r="E482" s="10"/>
      <c r="F482" s="207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</row>
    <row r="483" ht="12.75" customHeight="1">
      <c r="A483" s="10"/>
      <c r="B483" s="10"/>
      <c r="C483" s="10"/>
      <c r="D483" s="10"/>
      <c r="E483" s="10"/>
      <c r="F483" s="207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</row>
    <row r="484" ht="12.75" customHeight="1">
      <c r="A484" s="10"/>
      <c r="B484" s="10"/>
      <c r="C484" s="10"/>
      <c r="D484" s="10"/>
      <c r="E484" s="10"/>
      <c r="F484" s="207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</row>
    <row r="485" ht="12.75" customHeight="1">
      <c r="A485" s="10"/>
      <c r="B485" s="10"/>
      <c r="C485" s="10"/>
      <c r="D485" s="10"/>
      <c r="E485" s="10"/>
      <c r="F485" s="207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</row>
    <row r="486" ht="12.75" customHeight="1">
      <c r="A486" s="10"/>
      <c r="B486" s="10"/>
      <c r="C486" s="10"/>
      <c r="D486" s="10"/>
      <c r="E486" s="10"/>
      <c r="F486" s="207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</row>
    <row r="487" ht="12.75" customHeight="1">
      <c r="A487" s="10"/>
      <c r="B487" s="10"/>
      <c r="C487" s="10"/>
      <c r="D487" s="10"/>
      <c r="E487" s="10"/>
      <c r="F487" s="207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</row>
    <row r="488" ht="12.75" customHeight="1">
      <c r="A488" s="10"/>
      <c r="B488" s="10"/>
      <c r="C488" s="10"/>
      <c r="D488" s="10"/>
      <c r="E488" s="10"/>
      <c r="F488" s="207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</row>
    <row r="489" ht="12.75" customHeight="1">
      <c r="A489" s="10"/>
      <c r="B489" s="10"/>
      <c r="C489" s="10"/>
      <c r="D489" s="10"/>
      <c r="E489" s="10"/>
      <c r="F489" s="207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</row>
    <row r="490" ht="12.75" customHeight="1">
      <c r="A490" s="10"/>
      <c r="B490" s="10"/>
      <c r="C490" s="10"/>
      <c r="D490" s="10"/>
      <c r="E490" s="10"/>
      <c r="F490" s="207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</row>
    <row r="491" ht="12.75" customHeight="1">
      <c r="A491" s="10"/>
      <c r="B491" s="10"/>
      <c r="C491" s="10"/>
      <c r="D491" s="10"/>
      <c r="E491" s="10"/>
      <c r="F491" s="207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</row>
    <row r="492" ht="12.75" customHeight="1">
      <c r="A492" s="10"/>
      <c r="B492" s="10"/>
      <c r="C492" s="10"/>
      <c r="D492" s="10"/>
      <c r="E492" s="10"/>
      <c r="F492" s="207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</row>
    <row r="493" ht="12.75" customHeight="1">
      <c r="A493" s="10"/>
      <c r="B493" s="10"/>
      <c r="C493" s="10"/>
      <c r="D493" s="10"/>
      <c r="E493" s="10"/>
      <c r="F493" s="207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</row>
    <row r="494" ht="12.75" customHeight="1">
      <c r="A494" s="10"/>
      <c r="B494" s="10"/>
      <c r="C494" s="10"/>
      <c r="D494" s="10"/>
      <c r="E494" s="10"/>
      <c r="F494" s="207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</row>
    <row r="495" ht="12.75" customHeight="1">
      <c r="A495" s="10"/>
      <c r="B495" s="10"/>
      <c r="C495" s="10"/>
      <c r="D495" s="10"/>
      <c r="E495" s="10"/>
      <c r="F495" s="207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</row>
    <row r="496" ht="12.75" customHeight="1">
      <c r="A496" s="10"/>
      <c r="B496" s="10"/>
      <c r="C496" s="10"/>
      <c r="D496" s="10"/>
      <c r="E496" s="10"/>
      <c r="F496" s="207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</row>
    <row r="497" ht="12.75" customHeight="1">
      <c r="A497" s="10"/>
      <c r="B497" s="10"/>
      <c r="C497" s="10"/>
      <c r="D497" s="10"/>
      <c r="E497" s="10"/>
      <c r="F497" s="207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</row>
    <row r="498" ht="12.75" customHeight="1">
      <c r="A498" s="10"/>
      <c r="B498" s="10"/>
      <c r="C498" s="10"/>
      <c r="D498" s="10"/>
      <c r="E498" s="10"/>
      <c r="F498" s="207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</row>
    <row r="499" ht="12.75" customHeight="1">
      <c r="A499" s="10"/>
      <c r="B499" s="10"/>
      <c r="C499" s="10"/>
      <c r="D499" s="10"/>
      <c r="E499" s="10"/>
      <c r="F499" s="207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</row>
    <row r="500" ht="12.75" customHeight="1">
      <c r="A500" s="10"/>
      <c r="B500" s="10"/>
      <c r="C500" s="10"/>
      <c r="D500" s="10"/>
      <c r="E500" s="10"/>
      <c r="F500" s="207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</row>
    <row r="501" ht="12.75" customHeight="1">
      <c r="A501" s="10"/>
      <c r="B501" s="10"/>
      <c r="C501" s="10"/>
      <c r="D501" s="10"/>
      <c r="E501" s="10"/>
      <c r="F501" s="207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</row>
    <row r="502" ht="12.75" customHeight="1">
      <c r="A502" s="10"/>
      <c r="B502" s="10"/>
      <c r="C502" s="10"/>
      <c r="D502" s="10"/>
      <c r="E502" s="10"/>
      <c r="F502" s="207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</row>
    <row r="503" ht="12.75" customHeight="1">
      <c r="A503" s="10"/>
      <c r="B503" s="10"/>
      <c r="C503" s="10"/>
      <c r="D503" s="10"/>
      <c r="E503" s="10"/>
      <c r="F503" s="207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</row>
    <row r="504" ht="12.75" customHeight="1">
      <c r="A504" s="10"/>
      <c r="B504" s="10"/>
      <c r="C504" s="10"/>
      <c r="D504" s="10"/>
      <c r="E504" s="10"/>
      <c r="F504" s="207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</row>
    <row r="505" ht="12.75" customHeight="1">
      <c r="A505" s="10"/>
      <c r="B505" s="10"/>
      <c r="C505" s="10"/>
      <c r="D505" s="10"/>
      <c r="E505" s="10"/>
      <c r="F505" s="207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</row>
    <row r="506" ht="12.75" customHeight="1">
      <c r="A506" s="10"/>
      <c r="B506" s="10"/>
      <c r="C506" s="10"/>
      <c r="D506" s="10"/>
      <c r="E506" s="10"/>
      <c r="F506" s="207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</row>
    <row r="507" ht="12.75" customHeight="1">
      <c r="A507" s="10"/>
      <c r="B507" s="10"/>
      <c r="C507" s="10"/>
      <c r="D507" s="10"/>
      <c r="E507" s="10"/>
      <c r="F507" s="207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</row>
    <row r="508" ht="12.75" customHeight="1">
      <c r="A508" s="10"/>
      <c r="B508" s="10"/>
      <c r="C508" s="10"/>
      <c r="D508" s="10"/>
      <c r="E508" s="10"/>
      <c r="F508" s="207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</row>
    <row r="509" ht="12.75" customHeight="1">
      <c r="A509" s="10"/>
      <c r="B509" s="10"/>
      <c r="C509" s="10"/>
      <c r="D509" s="10"/>
      <c r="E509" s="10"/>
      <c r="F509" s="207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</row>
    <row r="510" ht="12.75" customHeight="1">
      <c r="A510" s="10"/>
      <c r="B510" s="10"/>
      <c r="C510" s="10"/>
      <c r="D510" s="10"/>
      <c r="E510" s="10"/>
      <c r="F510" s="207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</row>
    <row r="511" ht="12.75" customHeight="1">
      <c r="A511" s="10"/>
      <c r="B511" s="10"/>
      <c r="C511" s="10"/>
      <c r="D511" s="10"/>
      <c r="E511" s="10"/>
      <c r="F511" s="207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</row>
    <row r="512" ht="12.75" customHeight="1">
      <c r="A512" s="10"/>
      <c r="B512" s="10"/>
      <c r="C512" s="10"/>
      <c r="D512" s="10"/>
      <c r="E512" s="10"/>
      <c r="F512" s="207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</row>
    <row r="513" ht="12.75" customHeight="1">
      <c r="A513" s="10"/>
      <c r="B513" s="10"/>
      <c r="C513" s="10"/>
      <c r="D513" s="10"/>
      <c r="E513" s="10"/>
      <c r="F513" s="207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</row>
    <row r="514" ht="12.75" customHeight="1">
      <c r="A514" s="10"/>
      <c r="B514" s="10"/>
      <c r="C514" s="10"/>
      <c r="D514" s="10"/>
      <c r="E514" s="10"/>
      <c r="F514" s="207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</row>
    <row r="515" ht="12.75" customHeight="1">
      <c r="A515" s="10"/>
      <c r="B515" s="10"/>
      <c r="C515" s="10"/>
      <c r="D515" s="10"/>
      <c r="E515" s="10"/>
      <c r="F515" s="207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</row>
    <row r="516" ht="12.75" customHeight="1">
      <c r="A516" s="10"/>
      <c r="B516" s="10"/>
      <c r="C516" s="10"/>
      <c r="D516" s="10"/>
      <c r="E516" s="10"/>
      <c r="F516" s="207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</row>
    <row r="517" ht="12.75" customHeight="1">
      <c r="A517" s="10"/>
      <c r="B517" s="10"/>
      <c r="C517" s="10"/>
      <c r="D517" s="10"/>
      <c r="E517" s="10"/>
      <c r="F517" s="207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</row>
    <row r="518" ht="12.75" customHeight="1">
      <c r="A518" s="10"/>
      <c r="B518" s="10"/>
      <c r="C518" s="10"/>
      <c r="D518" s="10"/>
      <c r="E518" s="10"/>
      <c r="F518" s="207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</row>
    <row r="519" ht="12.75" customHeight="1">
      <c r="A519" s="10"/>
      <c r="B519" s="10"/>
      <c r="C519" s="10"/>
      <c r="D519" s="10"/>
      <c r="E519" s="10"/>
      <c r="F519" s="207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</row>
    <row r="520" ht="12.75" customHeight="1">
      <c r="A520" s="10"/>
      <c r="B520" s="10"/>
      <c r="C520" s="10"/>
      <c r="D520" s="10"/>
      <c r="E520" s="10"/>
      <c r="F520" s="207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</row>
    <row r="521" ht="12.75" customHeight="1">
      <c r="A521" s="10"/>
      <c r="B521" s="10"/>
      <c r="C521" s="10"/>
      <c r="D521" s="10"/>
      <c r="E521" s="10"/>
      <c r="F521" s="207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</row>
    <row r="522" ht="12.75" customHeight="1">
      <c r="A522" s="10"/>
      <c r="B522" s="10"/>
      <c r="C522" s="10"/>
      <c r="D522" s="10"/>
      <c r="E522" s="10"/>
      <c r="F522" s="207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</row>
    <row r="523" ht="12.75" customHeight="1">
      <c r="A523" s="10"/>
      <c r="B523" s="10"/>
      <c r="C523" s="10"/>
      <c r="D523" s="10"/>
      <c r="E523" s="10"/>
      <c r="F523" s="207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</row>
    <row r="524" ht="12.75" customHeight="1">
      <c r="A524" s="10"/>
      <c r="B524" s="10"/>
      <c r="C524" s="10"/>
      <c r="D524" s="10"/>
      <c r="E524" s="10"/>
      <c r="F524" s="207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</row>
    <row r="525" ht="12.75" customHeight="1">
      <c r="A525" s="10"/>
      <c r="B525" s="10"/>
      <c r="C525" s="10"/>
      <c r="D525" s="10"/>
      <c r="E525" s="10"/>
      <c r="F525" s="207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</row>
    <row r="526" ht="12.75" customHeight="1">
      <c r="A526" s="10"/>
      <c r="B526" s="10"/>
      <c r="C526" s="10"/>
      <c r="D526" s="10"/>
      <c r="E526" s="10"/>
      <c r="F526" s="207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</row>
    <row r="527" ht="12.75" customHeight="1">
      <c r="A527" s="10"/>
      <c r="B527" s="10"/>
      <c r="C527" s="10"/>
      <c r="D527" s="10"/>
      <c r="E527" s="10"/>
      <c r="F527" s="207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</row>
    <row r="528" ht="12.75" customHeight="1">
      <c r="A528" s="10"/>
      <c r="B528" s="10"/>
      <c r="C528" s="10"/>
      <c r="D528" s="10"/>
      <c r="E528" s="10"/>
      <c r="F528" s="207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</row>
    <row r="529" ht="12.75" customHeight="1">
      <c r="A529" s="10"/>
      <c r="B529" s="10"/>
      <c r="C529" s="10"/>
      <c r="D529" s="10"/>
      <c r="E529" s="10"/>
      <c r="F529" s="207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</row>
    <row r="530" ht="12.75" customHeight="1">
      <c r="A530" s="10"/>
      <c r="B530" s="10"/>
      <c r="C530" s="10"/>
      <c r="D530" s="10"/>
      <c r="E530" s="10"/>
      <c r="F530" s="207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</row>
    <row r="531" ht="12.75" customHeight="1">
      <c r="A531" s="10"/>
      <c r="B531" s="10"/>
      <c r="C531" s="10"/>
      <c r="D531" s="10"/>
      <c r="E531" s="10"/>
      <c r="F531" s="207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</row>
    <row r="532" ht="12.75" customHeight="1">
      <c r="A532" s="10"/>
      <c r="B532" s="10"/>
      <c r="C532" s="10"/>
      <c r="D532" s="10"/>
      <c r="E532" s="10"/>
      <c r="F532" s="207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</row>
    <row r="533" ht="12.75" customHeight="1">
      <c r="A533" s="10"/>
      <c r="B533" s="10"/>
      <c r="C533" s="10"/>
      <c r="D533" s="10"/>
      <c r="E533" s="10"/>
      <c r="F533" s="207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</row>
    <row r="534" ht="12.75" customHeight="1">
      <c r="A534" s="10"/>
      <c r="B534" s="10"/>
      <c r="C534" s="10"/>
      <c r="D534" s="10"/>
      <c r="E534" s="10"/>
      <c r="F534" s="207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</row>
    <row r="535" ht="12.75" customHeight="1">
      <c r="A535" s="10"/>
      <c r="B535" s="10"/>
      <c r="C535" s="10"/>
      <c r="D535" s="10"/>
      <c r="E535" s="10"/>
      <c r="F535" s="207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</row>
    <row r="536" ht="12.75" customHeight="1">
      <c r="A536" s="10"/>
      <c r="B536" s="10"/>
      <c r="C536" s="10"/>
      <c r="D536" s="10"/>
      <c r="E536" s="10"/>
      <c r="F536" s="207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</row>
    <row r="537" ht="12.75" customHeight="1">
      <c r="A537" s="10"/>
      <c r="B537" s="10"/>
      <c r="C537" s="10"/>
      <c r="D537" s="10"/>
      <c r="E537" s="10"/>
      <c r="F537" s="207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</row>
    <row r="538" ht="12.75" customHeight="1">
      <c r="A538" s="10"/>
      <c r="B538" s="10"/>
      <c r="C538" s="10"/>
      <c r="D538" s="10"/>
      <c r="E538" s="10"/>
      <c r="F538" s="207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</row>
    <row r="539" ht="12.75" customHeight="1">
      <c r="A539" s="10"/>
      <c r="B539" s="10"/>
      <c r="C539" s="10"/>
      <c r="D539" s="10"/>
      <c r="E539" s="10"/>
      <c r="F539" s="207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</row>
    <row r="540" ht="12.75" customHeight="1">
      <c r="A540" s="10"/>
      <c r="B540" s="10"/>
      <c r="C540" s="10"/>
      <c r="D540" s="10"/>
      <c r="E540" s="10"/>
      <c r="F540" s="207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</row>
    <row r="541" ht="12.75" customHeight="1">
      <c r="A541" s="10"/>
      <c r="B541" s="10"/>
      <c r="C541" s="10"/>
      <c r="D541" s="10"/>
      <c r="E541" s="10"/>
      <c r="F541" s="207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</row>
    <row r="542" ht="12.75" customHeight="1">
      <c r="A542" s="10"/>
      <c r="B542" s="10"/>
      <c r="C542" s="10"/>
      <c r="D542" s="10"/>
      <c r="E542" s="10"/>
      <c r="F542" s="207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</row>
    <row r="543" ht="12.75" customHeight="1">
      <c r="A543" s="10"/>
      <c r="B543" s="10"/>
      <c r="C543" s="10"/>
      <c r="D543" s="10"/>
      <c r="E543" s="10"/>
      <c r="F543" s="207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</row>
    <row r="544" ht="12.75" customHeight="1">
      <c r="A544" s="10"/>
      <c r="B544" s="10"/>
      <c r="C544" s="10"/>
      <c r="D544" s="10"/>
      <c r="E544" s="10"/>
      <c r="F544" s="207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</row>
    <row r="545" ht="12.75" customHeight="1">
      <c r="A545" s="10"/>
      <c r="B545" s="10"/>
      <c r="C545" s="10"/>
      <c r="D545" s="10"/>
      <c r="E545" s="10"/>
      <c r="F545" s="207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</row>
    <row r="546" ht="12.75" customHeight="1">
      <c r="A546" s="10"/>
      <c r="B546" s="10"/>
      <c r="C546" s="10"/>
      <c r="D546" s="10"/>
      <c r="E546" s="10"/>
      <c r="F546" s="207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</row>
    <row r="547" ht="12.75" customHeight="1">
      <c r="A547" s="10"/>
      <c r="B547" s="10"/>
      <c r="C547" s="10"/>
      <c r="D547" s="10"/>
      <c r="E547" s="10"/>
      <c r="F547" s="207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</row>
    <row r="548" ht="12.75" customHeight="1">
      <c r="A548" s="10"/>
      <c r="B548" s="10"/>
      <c r="C548" s="10"/>
      <c r="D548" s="10"/>
      <c r="E548" s="10"/>
      <c r="F548" s="207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</row>
    <row r="549" ht="12.75" customHeight="1">
      <c r="A549" s="10"/>
      <c r="B549" s="10"/>
      <c r="C549" s="10"/>
      <c r="D549" s="10"/>
      <c r="E549" s="10"/>
      <c r="F549" s="207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</row>
    <row r="550" ht="12.75" customHeight="1">
      <c r="A550" s="10"/>
      <c r="B550" s="10"/>
      <c r="C550" s="10"/>
      <c r="D550" s="10"/>
      <c r="E550" s="10"/>
      <c r="F550" s="207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</row>
    <row r="551" ht="12.75" customHeight="1">
      <c r="A551" s="10"/>
      <c r="B551" s="10"/>
      <c r="C551" s="10"/>
      <c r="D551" s="10"/>
      <c r="E551" s="10"/>
      <c r="F551" s="207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</row>
    <row r="552" ht="12.75" customHeight="1">
      <c r="A552" s="10"/>
      <c r="B552" s="10"/>
      <c r="C552" s="10"/>
      <c r="D552" s="10"/>
      <c r="E552" s="10"/>
      <c r="F552" s="207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</row>
    <row r="553" ht="12.75" customHeight="1">
      <c r="A553" s="10"/>
      <c r="B553" s="10"/>
      <c r="C553" s="10"/>
      <c r="D553" s="10"/>
      <c r="E553" s="10"/>
      <c r="F553" s="207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</row>
    <row r="554" ht="12.75" customHeight="1">
      <c r="A554" s="10"/>
      <c r="B554" s="10"/>
      <c r="C554" s="10"/>
      <c r="D554" s="10"/>
      <c r="E554" s="10"/>
      <c r="F554" s="207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</row>
    <row r="555" ht="12.75" customHeight="1">
      <c r="A555" s="10"/>
      <c r="B555" s="10"/>
      <c r="C555" s="10"/>
      <c r="D555" s="10"/>
      <c r="E555" s="10"/>
      <c r="F555" s="207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</row>
    <row r="556" ht="12.75" customHeight="1">
      <c r="A556" s="10"/>
      <c r="B556" s="10"/>
      <c r="C556" s="10"/>
      <c r="D556" s="10"/>
      <c r="E556" s="10"/>
      <c r="F556" s="207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</row>
    <row r="557" ht="12.75" customHeight="1">
      <c r="A557" s="10"/>
      <c r="B557" s="10"/>
      <c r="C557" s="10"/>
      <c r="D557" s="10"/>
      <c r="E557" s="10"/>
      <c r="F557" s="207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</row>
    <row r="558" ht="12.75" customHeight="1">
      <c r="A558" s="10"/>
      <c r="B558" s="10"/>
      <c r="C558" s="10"/>
      <c r="D558" s="10"/>
      <c r="E558" s="10"/>
      <c r="F558" s="207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</row>
    <row r="559" ht="12.75" customHeight="1">
      <c r="A559" s="10"/>
      <c r="B559" s="10"/>
      <c r="C559" s="10"/>
      <c r="D559" s="10"/>
      <c r="E559" s="10"/>
      <c r="F559" s="207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</row>
    <row r="560" ht="12.75" customHeight="1">
      <c r="A560" s="10"/>
      <c r="B560" s="10"/>
      <c r="C560" s="10"/>
      <c r="D560" s="10"/>
      <c r="E560" s="10"/>
      <c r="F560" s="207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</row>
    <row r="561" ht="12.75" customHeight="1">
      <c r="A561" s="10"/>
      <c r="B561" s="10"/>
      <c r="C561" s="10"/>
      <c r="D561" s="10"/>
      <c r="E561" s="10"/>
      <c r="F561" s="207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</row>
    <row r="562" ht="12.75" customHeight="1">
      <c r="A562" s="10"/>
      <c r="B562" s="10"/>
      <c r="C562" s="10"/>
      <c r="D562" s="10"/>
      <c r="E562" s="10"/>
      <c r="F562" s="207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</row>
    <row r="563" ht="12.75" customHeight="1">
      <c r="A563" s="10"/>
      <c r="B563" s="10"/>
      <c r="C563" s="10"/>
      <c r="D563" s="10"/>
      <c r="E563" s="10"/>
      <c r="F563" s="207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</row>
    <row r="564" ht="12.75" customHeight="1">
      <c r="A564" s="10"/>
      <c r="B564" s="10"/>
      <c r="C564" s="10"/>
      <c r="D564" s="10"/>
      <c r="E564" s="10"/>
      <c r="F564" s="207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</row>
    <row r="565" ht="12.75" customHeight="1">
      <c r="A565" s="10"/>
      <c r="B565" s="10"/>
      <c r="C565" s="10"/>
      <c r="D565" s="10"/>
      <c r="E565" s="10"/>
      <c r="F565" s="207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</row>
    <row r="566" ht="12.75" customHeight="1">
      <c r="A566" s="10"/>
      <c r="B566" s="10"/>
      <c r="C566" s="10"/>
      <c r="D566" s="10"/>
      <c r="E566" s="10"/>
      <c r="F566" s="207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</row>
    <row r="567" ht="12.75" customHeight="1">
      <c r="A567" s="10"/>
      <c r="B567" s="10"/>
      <c r="C567" s="10"/>
      <c r="D567" s="10"/>
      <c r="E567" s="10"/>
      <c r="F567" s="207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</row>
    <row r="568" ht="12.75" customHeight="1">
      <c r="A568" s="10"/>
      <c r="B568" s="10"/>
      <c r="C568" s="10"/>
      <c r="D568" s="10"/>
      <c r="E568" s="10"/>
      <c r="F568" s="207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</row>
    <row r="569" ht="12.75" customHeight="1">
      <c r="A569" s="10"/>
      <c r="B569" s="10"/>
      <c r="C569" s="10"/>
      <c r="D569" s="10"/>
      <c r="E569" s="10"/>
      <c r="F569" s="207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</row>
    <row r="570" ht="12.75" customHeight="1">
      <c r="A570" s="10"/>
      <c r="B570" s="10"/>
      <c r="C570" s="10"/>
      <c r="D570" s="10"/>
      <c r="E570" s="10"/>
      <c r="F570" s="207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</row>
    <row r="571" ht="12.75" customHeight="1">
      <c r="A571" s="10"/>
      <c r="B571" s="10"/>
      <c r="C571" s="10"/>
      <c r="D571" s="10"/>
      <c r="E571" s="10"/>
      <c r="F571" s="207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</row>
    <row r="572" ht="12.75" customHeight="1">
      <c r="A572" s="10"/>
      <c r="B572" s="10"/>
      <c r="C572" s="10"/>
      <c r="D572" s="10"/>
      <c r="E572" s="10"/>
      <c r="F572" s="207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</row>
    <row r="573" ht="12.75" customHeight="1">
      <c r="A573" s="10"/>
      <c r="B573" s="10"/>
      <c r="C573" s="10"/>
      <c r="D573" s="10"/>
      <c r="E573" s="10"/>
      <c r="F573" s="207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</row>
    <row r="574" ht="12.75" customHeight="1">
      <c r="A574" s="10"/>
      <c r="B574" s="10"/>
      <c r="C574" s="10"/>
      <c r="D574" s="10"/>
      <c r="E574" s="10"/>
      <c r="F574" s="207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</row>
    <row r="575" ht="12.75" customHeight="1">
      <c r="A575" s="10"/>
      <c r="B575" s="10"/>
      <c r="C575" s="10"/>
      <c r="D575" s="10"/>
      <c r="E575" s="10"/>
      <c r="F575" s="207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</row>
    <row r="576" ht="12.75" customHeight="1">
      <c r="A576" s="10"/>
      <c r="B576" s="10"/>
      <c r="C576" s="10"/>
      <c r="D576" s="10"/>
      <c r="E576" s="10"/>
      <c r="F576" s="207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</row>
    <row r="577" ht="12.75" customHeight="1">
      <c r="A577" s="10"/>
      <c r="B577" s="10"/>
      <c r="C577" s="10"/>
      <c r="D577" s="10"/>
      <c r="E577" s="10"/>
      <c r="F577" s="207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</row>
    <row r="578" ht="12.75" customHeight="1">
      <c r="A578" s="10"/>
      <c r="B578" s="10"/>
      <c r="C578" s="10"/>
      <c r="D578" s="10"/>
      <c r="E578" s="10"/>
      <c r="F578" s="207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</row>
    <row r="579" ht="12.75" customHeight="1">
      <c r="A579" s="10"/>
      <c r="B579" s="10"/>
      <c r="C579" s="10"/>
      <c r="D579" s="10"/>
      <c r="E579" s="10"/>
      <c r="F579" s="207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</row>
    <row r="580" ht="12.75" customHeight="1">
      <c r="A580" s="10"/>
      <c r="B580" s="10"/>
      <c r="C580" s="10"/>
      <c r="D580" s="10"/>
      <c r="E580" s="10"/>
      <c r="F580" s="207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</row>
    <row r="581" ht="12.75" customHeight="1">
      <c r="A581" s="10"/>
      <c r="B581" s="10"/>
      <c r="C581" s="10"/>
      <c r="D581" s="10"/>
      <c r="E581" s="10"/>
      <c r="F581" s="207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</row>
    <row r="582" ht="12.75" customHeight="1">
      <c r="A582" s="10"/>
      <c r="B582" s="10"/>
      <c r="C582" s="10"/>
      <c r="D582" s="10"/>
      <c r="E582" s="10"/>
      <c r="F582" s="207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</row>
    <row r="583" ht="12.75" customHeight="1">
      <c r="A583" s="10"/>
      <c r="B583" s="10"/>
      <c r="C583" s="10"/>
      <c r="D583" s="10"/>
      <c r="E583" s="10"/>
      <c r="F583" s="207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</row>
    <row r="584" ht="12.75" customHeight="1">
      <c r="A584" s="10"/>
      <c r="B584" s="10"/>
      <c r="C584" s="10"/>
      <c r="D584" s="10"/>
      <c r="E584" s="10"/>
      <c r="F584" s="207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</row>
    <row r="585" ht="12.75" customHeight="1">
      <c r="A585" s="10"/>
      <c r="B585" s="10"/>
      <c r="C585" s="10"/>
      <c r="D585" s="10"/>
      <c r="E585" s="10"/>
      <c r="F585" s="207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</row>
    <row r="586" ht="12.75" customHeight="1">
      <c r="A586" s="10"/>
      <c r="B586" s="10"/>
      <c r="C586" s="10"/>
      <c r="D586" s="10"/>
      <c r="E586" s="10"/>
      <c r="F586" s="207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</row>
    <row r="587" ht="12.75" customHeight="1">
      <c r="A587" s="10"/>
      <c r="B587" s="10"/>
      <c r="C587" s="10"/>
      <c r="D587" s="10"/>
      <c r="E587" s="10"/>
      <c r="F587" s="207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</row>
    <row r="588" ht="12.75" customHeight="1">
      <c r="A588" s="10"/>
      <c r="B588" s="10"/>
      <c r="C588" s="10"/>
      <c r="D588" s="10"/>
      <c r="E588" s="10"/>
      <c r="F588" s="207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</row>
    <row r="589" ht="12.75" customHeight="1">
      <c r="A589" s="10"/>
      <c r="B589" s="10"/>
      <c r="C589" s="10"/>
      <c r="D589" s="10"/>
      <c r="E589" s="10"/>
      <c r="F589" s="207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</row>
    <row r="590" ht="12.75" customHeight="1">
      <c r="A590" s="10"/>
      <c r="B590" s="10"/>
      <c r="C590" s="10"/>
      <c r="D590" s="10"/>
      <c r="E590" s="10"/>
      <c r="F590" s="207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</row>
    <row r="591" ht="12.75" customHeight="1">
      <c r="A591" s="10"/>
      <c r="B591" s="10"/>
      <c r="C591" s="10"/>
      <c r="D591" s="10"/>
      <c r="E591" s="10"/>
      <c r="F591" s="207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</row>
    <row r="592" ht="12.75" customHeight="1">
      <c r="A592" s="10"/>
      <c r="B592" s="10"/>
      <c r="C592" s="10"/>
      <c r="D592" s="10"/>
      <c r="E592" s="10"/>
      <c r="F592" s="207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</row>
    <row r="593" ht="12.75" customHeight="1">
      <c r="A593" s="10"/>
      <c r="B593" s="10"/>
      <c r="C593" s="10"/>
      <c r="D593" s="10"/>
      <c r="E593" s="10"/>
      <c r="F593" s="207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</row>
    <row r="594" ht="12.75" customHeight="1">
      <c r="A594" s="10"/>
      <c r="B594" s="10"/>
      <c r="C594" s="10"/>
      <c r="D594" s="10"/>
      <c r="E594" s="10"/>
      <c r="F594" s="207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</row>
    <row r="595" ht="12.75" customHeight="1">
      <c r="A595" s="10"/>
      <c r="B595" s="10"/>
      <c r="C595" s="10"/>
      <c r="D595" s="10"/>
      <c r="E595" s="10"/>
      <c r="F595" s="207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</row>
    <row r="596" ht="12.75" customHeight="1">
      <c r="A596" s="10"/>
      <c r="B596" s="10"/>
      <c r="C596" s="10"/>
      <c r="D596" s="10"/>
      <c r="E596" s="10"/>
      <c r="F596" s="207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</row>
    <row r="597" ht="12.75" customHeight="1">
      <c r="A597" s="10"/>
      <c r="B597" s="10"/>
      <c r="C597" s="10"/>
      <c r="D597" s="10"/>
      <c r="E597" s="10"/>
      <c r="F597" s="207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</row>
    <row r="598" ht="12.75" customHeight="1">
      <c r="A598" s="10"/>
      <c r="B598" s="10"/>
      <c r="C598" s="10"/>
      <c r="D598" s="10"/>
      <c r="E598" s="10"/>
      <c r="F598" s="207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</row>
    <row r="599" ht="12.75" customHeight="1">
      <c r="A599" s="10"/>
      <c r="B599" s="10"/>
      <c r="C599" s="10"/>
      <c r="D599" s="10"/>
      <c r="E599" s="10"/>
      <c r="F599" s="207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</row>
    <row r="600" ht="12.75" customHeight="1">
      <c r="A600" s="10"/>
      <c r="B600" s="10"/>
      <c r="C600" s="10"/>
      <c r="D600" s="10"/>
      <c r="E600" s="10"/>
      <c r="F600" s="207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</row>
    <row r="601" ht="12.75" customHeight="1">
      <c r="A601" s="10"/>
      <c r="B601" s="10"/>
      <c r="C601" s="10"/>
      <c r="D601" s="10"/>
      <c r="E601" s="10"/>
      <c r="F601" s="207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</row>
    <row r="602" ht="12.75" customHeight="1">
      <c r="A602" s="10"/>
      <c r="B602" s="10"/>
      <c r="C602" s="10"/>
      <c r="D602" s="10"/>
      <c r="E602" s="10"/>
      <c r="F602" s="207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</row>
    <row r="603" ht="12.75" customHeight="1">
      <c r="A603" s="10"/>
      <c r="B603" s="10"/>
      <c r="C603" s="10"/>
      <c r="D603" s="10"/>
      <c r="E603" s="10"/>
      <c r="F603" s="207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</row>
    <row r="604" ht="12.75" customHeight="1">
      <c r="A604" s="10"/>
      <c r="B604" s="10"/>
      <c r="C604" s="10"/>
      <c r="D604" s="10"/>
      <c r="E604" s="10"/>
      <c r="F604" s="207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</row>
    <row r="605" ht="12.75" customHeight="1">
      <c r="A605" s="10"/>
      <c r="B605" s="10"/>
      <c r="C605" s="10"/>
      <c r="D605" s="10"/>
      <c r="E605" s="10"/>
      <c r="F605" s="207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</row>
    <row r="606" ht="12.75" customHeight="1">
      <c r="A606" s="10"/>
      <c r="B606" s="10"/>
      <c r="C606" s="10"/>
      <c r="D606" s="10"/>
      <c r="E606" s="10"/>
      <c r="F606" s="207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</row>
    <row r="607" ht="12.75" customHeight="1">
      <c r="A607" s="10"/>
      <c r="B607" s="10"/>
      <c r="C607" s="10"/>
      <c r="D607" s="10"/>
      <c r="E607" s="10"/>
      <c r="F607" s="207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</row>
    <row r="608" ht="12.75" customHeight="1">
      <c r="A608" s="10"/>
      <c r="B608" s="10"/>
      <c r="C608" s="10"/>
      <c r="D608" s="10"/>
      <c r="E608" s="10"/>
      <c r="F608" s="207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</row>
    <row r="609" ht="12.75" customHeight="1">
      <c r="A609" s="10"/>
      <c r="B609" s="10"/>
      <c r="C609" s="10"/>
      <c r="D609" s="10"/>
      <c r="E609" s="10"/>
      <c r="F609" s="207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</row>
    <row r="610" ht="12.75" customHeight="1">
      <c r="A610" s="10"/>
      <c r="B610" s="10"/>
      <c r="C610" s="10"/>
      <c r="D610" s="10"/>
      <c r="E610" s="10"/>
      <c r="F610" s="207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</row>
    <row r="611" ht="12.75" customHeight="1">
      <c r="A611" s="10"/>
      <c r="B611" s="10"/>
      <c r="C611" s="10"/>
      <c r="D611" s="10"/>
      <c r="E611" s="10"/>
      <c r="F611" s="207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</row>
    <row r="612" ht="12.75" customHeight="1">
      <c r="A612" s="10"/>
      <c r="B612" s="10"/>
      <c r="C612" s="10"/>
      <c r="D612" s="10"/>
      <c r="E612" s="10"/>
      <c r="F612" s="207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</row>
    <row r="613" ht="12.75" customHeight="1">
      <c r="A613" s="10"/>
      <c r="B613" s="10"/>
      <c r="C613" s="10"/>
      <c r="D613" s="10"/>
      <c r="E613" s="10"/>
      <c r="F613" s="207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</row>
    <row r="614" ht="12.75" customHeight="1">
      <c r="A614" s="10"/>
      <c r="B614" s="10"/>
      <c r="C614" s="10"/>
      <c r="D614" s="10"/>
      <c r="E614" s="10"/>
      <c r="F614" s="207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</row>
    <row r="615" ht="12.75" customHeight="1">
      <c r="A615" s="10"/>
      <c r="B615" s="10"/>
      <c r="C615" s="10"/>
      <c r="D615" s="10"/>
      <c r="E615" s="10"/>
      <c r="F615" s="207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</row>
    <row r="616" ht="12.75" customHeight="1">
      <c r="A616" s="10"/>
      <c r="B616" s="10"/>
      <c r="C616" s="10"/>
      <c r="D616" s="10"/>
      <c r="E616" s="10"/>
      <c r="F616" s="207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</row>
    <row r="617" ht="12.75" customHeight="1">
      <c r="A617" s="10"/>
      <c r="B617" s="10"/>
      <c r="C617" s="10"/>
      <c r="D617" s="10"/>
      <c r="E617" s="10"/>
      <c r="F617" s="207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</row>
    <row r="618" ht="12.75" customHeight="1">
      <c r="A618" s="10"/>
      <c r="B618" s="10"/>
      <c r="C618" s="10"/>
      <c r="D618" s="10"/>
      <c r="E618" s="10"/>
      <c r="F618" s="207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</row>
    <row r="619" ht="12.75" customHeight="1">
      <c r="A619" s="10"/>
      <c r="B619" s="10"/>
      <c r="C619" s="10"/>
      <c r="D619" s="10"/>
      <c r="E619" s="10"/>
      <c r="F619" s="207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</row>
    <row r="620" ht="12.75" customHeight="1">
      <c r="A620" s="10"/>
      <c r="B620" s="10"/>
      <c r="C620" s="10"/>
      <c r="D620" s="10"/>
      <c r="E620" s="10"/>
      <c r="F620" s="207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</row>
    <row r="621" ht="12.75" customHeight="1">
      <c r="A621" s="10"/>
      <c r="B621" s="10"/>
      <c r="C621" s="10"/>
      <c r="D621" s="10"/>
      <c r="E621" s="10"/>
      <c r="F621" s="207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</row>
    <row r="622" ht="12.75" customHeight="1">
      <c r="A622" s="10"/>
      <c r="B622" s="10"/>
      <c r="C622" s="10"/>
      <c r="D622" s="10"/>
      <c r="E622" s="10"/>
      <c r="F622" s="207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</row>
    <row r="623" ht="12.75" customHeight="1">
      <c r="A623" s="10"/>
      <c r="B623" s="10"/>
      <c r="C623" s="10"/>
      <c r="D623" s="10"/>
      <c r="E623" s="10"/>
      <c r="F623" s="207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</row>
    <row r="624" ht="12.75" customHeight="1">
      <c r="A624" s="10"/>
      <c r="B624" s="10"/>
      <c r="C624" s="10"/>
      <c r="D624" s="10"/>
      <c r="E624" s="10"/>
      <c r="F624" s="207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</row>
    <row r="625" ht="12.75" customHeight="1">
      <c r="A625" s="10"/>
      <c r="B625" s="10"/>
      <c r="C625" s="10"/>
      <c r="D625" s="10"/>
      <c r="E625" s="10"/>
      <c r="F625" s="207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</row>
    <row r="626" ht="12.75" customHeight="1">
      <c r="A626" s="10"/>
      <c r="B626" s="10"/>
      <c r="C626" s="10"/>
      <c r="D626" s="10"/>
      <c r="E626" s="10"/>
      <c r="F626" s="207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</row>
    <row r="627" ht="12.75" customHeight="1">
      <c r="A627" s="10"/>
      <c r="B627" s="10"/>
      <c r="C627" s="10"/>
      <c r="D627" s="10"/>
      <c r="E627" s="10"/>
      <c r="F627" s="207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</row>
    <row r="628" ht="12.75" customHeight="1">
      <c r="A628" s="10"/>
      <c r="B628" s="10"/>
      <c r="C628" s="10"/>
      <c r="D628" s="10"/>
      <c r="E628" s="10"/>
      <c r="F628" s="207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</row>
    <row r="629" ht="12.75" customHeight="1">
      <c r="A629" s="10"/>
      <c r="B629" s="10"/>
      <c r="C629" s="10"/>
      <c r="D629" s="10"/>
      <c r="E629" s="10"/>
      <c r="F629" s="207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</row>
    <row r="630" ht="12.75" customHeight="1">
      <c r="A630" s="10"/>
      <c r="B630" s="10"/>
      <c r="C630" s="10"/>
      <c r="D630" s="10"/>
      <c r="E630" s="10"/>
      <c r="F630" s="207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</row>
    <row r="631" ht="12.75" customHeight="1">
      <c r="A631" s="10"/>
      <c r="B631" s="10"/>
      <c r="C631" s="10"/>
      <c r="D631" s="10"/>
      <c r="E631" s="10"/>
      <c r="F631" s="207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</row>
    <row r="632" ht="12.75" customHeight="1">
      <c r="A632" s="10"/>
      <c r="B632" s="10"/>
      <c r="C632" s="10"/>
      <c r="D632" s="10"/>
      <c r="E632" s="10"/>
      <c r="F632" s="207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</row>
    <row r="633" ht="12.75" customHeight="1">
      <c r="A633" s="10"/>
      <c r="B633" s="10"/>
      <c r="C633" s="10"/>
      <c r="D633" s="10"/>
      <c r="E633" s="10"/>
      <c r="F633" s="207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</row>
    <row r="634" ht="12.75" customHeight="1">
      <c r="A634" s="10"/>
      <c r="B634" s="10"/>
      <c r="C634" s="10"/>
      <c r="D634" s="10"/>
      <c r="E634" s="10"/>
      <c r="F634" s="207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</row>
    <row r="635" ht="12.75" customHeight="1">
      <c r="A635" s="10"/>
      <c r="B635" s="10"/>
      <c r="C635" s="10"/>
      <c r="D635" s="10"/>
      <c r="E635" s="10"/>
      <c r="F635" s="207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</row>
    <row r="636" ht="12.75" customHeight="1">
      <c r="A636" s="10"/>
      <c r="B636" s="10"/>
      <c r="C636" s="10"/>
      <c r="D636" s="10"/>
      <c r="E636" s="10"/>
      <c r="F636" s="207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</row>
    <row r="637" ht="12.75" customHeight="1">
      <c r="A637" s="10"/>
      <c r="B637" s="10"/>
      <c r="C637" s="10"/>
      <c r="D637" s="10"/>
      <c r="E637" s="10"/>
      <c r="F637" s="207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</row>
    <row r="638" ht="12.75" customHeight="1">
      <c r="A638" s="10"/>
      <c r="B638" s="10"/>
      <c r="C638" s="10"/>
      <c r="D638" s="10"/>
      <c r="E638" s="10"/>
      <c r="F638" s="207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</row>
    <row r="639" ht="12.75" customHeight="1">
      <c r="A639" s="10"/>
      <c r="B639" s="10"/>
      <c r="C639" s="10"/>
      <c r="D639" s="10"/>
      <c r="E639" s="10"/>
      <c r="F639" s="207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</row>
    <row r="640" ht="12.75" customHeight="1">
      <c r="A640" s="10"/>
      <c r="B640" s="10"/>
      <c r="C640" s="10"/>
      <c r="D640" s="10"/>
      <c r="E640" s="10"/>
      <c r="F640" s="207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</row>
    <row r="641" ht="12.75" customHeight="1">
      <c r="A641" s="10"/>
      <c r="B641" s="10"/>
      <c r="C641" s="10"/>
      <c r="D641" s="10"/>
      <c r="E641" s="10"/>
      <c r="F641" s="207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</row>
    <row r="642" ht="12.75" customHeight="1">
      <c r="A642" s="10"/>
      <c r="B642" s="10"/>
      <c r="C642" s="10"/>
      <c r="D642" s="10"/>
      <c r="E642" s="10"/>
      <c r="F642" s="207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</row>
    <row r="643" ht="12.75" customHeight="1">
      <c r="A643" s="10"/>
      <c r="B643" s="10"/>
      <c r="C643" s="10"/>
      <c r="D643" s="10"/>
      <c r="E643" s="10"/>
      <c r="F643" s="207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</row>
    <row r="644" ht="12.75" customHeight="1">
      <c r="A644" s="10"/>
      <c r="B644" s="10"/>
      <c r="C644" s="10"/>
      <c r="D644" s="10"/>
      <c r="E644" s="10"/>
      <c r="F644" s="207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</row>
    <row r="645" ht="12.75" customHeight="1">
      <c r="A645" s="10"/>
      <c r="B645" s="10"/>
      <c r="C645" s="10"/>
      <c r="D645" s="10"/>
      <c r="E645" s="10"/>
      <c r="F645" s="207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</row>
    <row r="646" ht="12.75" customHeight="1">
      <c r="A646" s="10"/>
      <c r="B646" s="10"/>
      <c r="C646" s="10"/>
      <c r="D646" s="10"/>
      <c r="E646" s="10"/>
      <c r="F646" s="207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</row>
    <row r="647" ht="12.75" customHeight="1">
      <c r="A647" s="10"/>
      <c r="B647" s="10"/>
      <c r="C647" s="10"/>
      <c r="D647" s="10"/>
      <c r="E647" s="10"/>
      <c r="F647" s="207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</row>
    <row r="648" ht="12.75" customHeight="1">
      <c r="A648" s="10"/>
      <c r="B648" s="10"/>
      <c r="C648" s="10"/>
      <c r="D648" s="10"/>
      <c r="E648" s="10"/>
      <c r="F648" s="207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</row>
    <row r="649" ht="12.75" customHeight="1">
      <c r="A649" s="10"/>
      <c r="B649" s="10"/>
      <c r="C649" s="10"/>
      <c r="D649" s="10"/>
      <c r="E649" s="10"/>
      <c r="F649" s="207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</row>
    <row r="650" ht="12.75" customHeight="1">
      <c r="A650" s="10"/>
      <c r="B650" s="10"/>
      <c r="C650" s="10"/>
      <c r="D650" s="10"/>
      <c r="E650" s="10"/>
      <c r="F650" s="207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</row>
    <row r="651" ht="12.75" customHeight="1">
      <c r="A651" s="10"/>
      <c r="B651" s="10"/>
      <c r="C651" s="10"/>
      <c r="D651" s="10"/>
      <c r="E651" s="10"/>
      <c r="F651" s="207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</row>
    <row r="652" ht="12.75" customHeight="1">
      <c r="A652" s="10"/>
      <c r="B652" s="10"/>
      <c r="C652" s="10"/>
      <c r="D652" s="10"/>
      <c r="E652" s="10"/>
      <c r="F652" s="207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</row>
    <row r="653" ht="12.75" customHeight="1">
      <c r="A653" s="10"/>
      <c r="B653" s="10"/>
      <c r="C653" s="10"/>
      <c r="D653" s="10"/>
      <c r="E653" s="10"/>
      <c r="F653" s="207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</row>
    <row r="654" ht="12.75" customHeight="1">
      <c r="A654" s="10"/>
      <c r="B654" s="10"/>
      <c r="C654" s="10"/>
      <c r="D654" s="10"/>
      <c r="E654" s="10"/>
      <c r="F654" s="207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</row>
    <row r="655" ht="12.75" customHeight="1">
      <c r="A655" s="10"/>
      <c r="B655" s="10"/>
      <c r="C655" s="10"/>
      <c r="D655" s="10"/>
      <c r="E655" s="10"/>
      <c r="F655" s="207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</row>
    <row r="656" ht="12.75" customHeight="1">
      <c r="A656" s="10"/>
      <c r="B656" s="10"/>
      <c r="C656" s="10"/>
      <c r="D656" s="10"/>
      <c r="E656" s="10"/>
      <c r="F656" s="207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</row>
    <row r="657" ht="12.75" customHeight="1">
      <c r="A657" s="10"/>
      <c r="B657" s="10"/>
      <c r="C657" s="10"/>
      <c r="D657" s="10"/>
      <c r="E657" s="10"/>
      <c r="F657" s="207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</row>
    <row r="658" ht="12.75" customHeight="1">
      <c r="A658" s="10"/>
      <c r="B658" s="10"/>
      <c r="C658" s="10"/>
      <c r="D658" s="10"/>
      <c r="E658" s="10"/>
      <c r="F658" s="207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</row>
    <row r="659" ht="12.75" customHeight="1">
      <c r="A659" s="10"/>
      <c r="B659" s="10"/>
      <c r="C659" s="10"/>
      <c r="D659" s="10"/>
      <c r="E659" s="10"/>
      <c r="F659" s="207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</row>
    <row r="660" ht="12.75" customHeight="1">
      <c r="A660" s="10"/>
      <c r="B660" s="10"/>
      <c r="C660" s="10"/>
      <c r="D660" s="10"/>
      <c r="E660" s="10"/>
      <c r="F660" s="207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</row>
    <row r="661" ht="12.75" customHeight="1">
      <c r="A661" s="10"/>
      <c r="B661" s="10"/>
      <c r="C661" s="10"/>
      <c r="D661" s="10"/>
      <c r="E661" s="10"/>
      <c r="F661" s="207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</row>
    <row r="662" ht="12.75" customHeight="1">
      <c r="A662" s="10"/>
      <c r="B662" s="10"/>
      <c r="C662" s="10"/>
      <c r="D662" s="10"/>
      <c r="E662" s="10"/>
      <c r="F662" s="207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</row>
    <row r="663" ht="12.75" customHeight="1">
      <c r="A663" s="10"/>
      <c r="B663" s="10"/>
      <c r="C663" s="10"/>
      <c r="D663" s="10"/>
      <c r="E663" s="10"/>
      <c r="F663" s="207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</row>
    <row r="664" ht="12.75" customHeight="1">
      <c r="A664" s="10"/>
      <c r="B664" s="10"/>
      <c r="C664" s="10"/>
      <c r="D664" s="10"/>
      <c r="E664" s="10"/>
      <c r="F664" s="207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</row>
    <row r="665" ht="12.75" customHeight="1">
      <c r="A665" s="10"/>
      <c r="B665" s="10"/>
      <c r="C665" s="10"/>
      <c r="D665" s="10"/>
      <c r="E665" s="10"/>
      <c r="F665" s="207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</row>
    <row r="666" ht="12.75" customHeight="1">
      <c r="A666" s="10"/>
      <c r="B666" s="10"/>
      <c r="C666" s="10"/>
      <c r="D666" s="10"/>
      <c r="E666" s="10"/>
      <c r="F666" s="207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</row>
    <row r="667" ht="12.75" customHeight="1">
      <c r="A667" s="10"/>
      <c r="B667" s="10"/>
      <c r="C667" s="10"/>
      <c r="D667" s="10"/>
      <c r="E667" s="10"/>
      <c r="F667" s="207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</row>
    <row r="668" ht="12.75" customHeight="1">
      <c r="A668" s="10"/>
      <c r="B668" s="10"/>
      <c r="C668" s="10"/>
      <c r="D668" s="10"/>
      <c r="E668" s="10"/>
      <c r="F668" s="207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</row>
    <row r="669" ht="12.75" customHeight="1">
      <c r="A669" s="10"/>
      <c r="B669" s="10"/>
      <c r="C669" s="10"/>
      <c r="D669" s="10"/>
      <c r="E669" s="10"/>
      <c r="F669" s="207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</row>
    <row r="670" ht="12.75" customHeight="1">
      <c r="A670" s="10"/>
      <c r="B670" s="10"/>
      <c r="C670" s="10"/>
      <c r="D670" s="10"/>
      <c r="E670" s="10"/>
      <c r="F670" s="207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</row>
    <row r="671" ht="12.75" customHeight="1">
      <c r="A671" s="10"/>
      <c r="B671" s="10"/>
      <c r="C671" s="10"/>
      <c r="D671" s="10"/>
      <c r="E671" s="10"/>
      <c r="F671" s="207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</row>
    <row r="672" ht="12.75" customHeight="1">
      <c r="A672" s="10"/>
      <c r="B672" s="10"/>
      <c r="C672" s="10"/>
      <c r="D672" s="10"/>
      <c r="E672" s="10"/>
      <c r="F672" s="207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</row>
    <row r="673" ht="12.75" customHeight="1">
      <c r="A673" s="10"/>
      <c r="B673" s="10"/>
      <c r="C673" s="10"/>
      <c r="D673" s="10"/>
      <c r="E673" s="10"/>
      <c r="F673" s="207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</row>
    <row r="674" ht="12.75" customHeight="1">
      <c r="A674" s="10"/>
      <c r="B674" s="10"/>
      <c r="C674" s="10"/>
      <c r="D674" s="10"/>
      <c r="E674" s="10"/>
      <c r="F674" s="207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</row>
    <row r="675" ht="12.75" customHeight="1">
      <c r="A675" s="10"/>
      <c r="B675" s="10"/>
      <c r="C675" s="10"/>
      <c r="D675" s="10"/>
      <c r="E675" s="10"/>
      <c r="F675" s="207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</row>
    <row r="676" ht="12.75" customHeight="1">
      <c r="A676" s="10"/>
      <c r="B676" s="10"/>
      <c r="C676" s="10"/>
      <c r="D676" s="10"/>
      <c r="E676" s="10"/>
      <c r="F676" s="207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</row>
    <row r="677" ht="12.75" customHeight="1">
      <c r="A677" s="10"/>
      <c r="B677" s="10"/>
      <c r="C677" s="10"/>
      <c r="D677" s="10"/>
      <c r="E677" s="10"/>
      <c r="F677" s="207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</row>
    <row r="678" ht="12.75" customHeight="1">
      <c r="A678" s="10"/>
      <c r="B678" s="10"/>
      <c r="C678" s="10"/>
      <c r="D678" s="10"/>
      <c r="E678" s="10"/>
      <c r="F678" s="207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</row>
    <row r="679" ht="12.75" customHeight="1">
      <c r="A679" s="10"/>
      <c r="B679" s="10"/>
      <c r="C679" s="10"/>
      <c r="D679" s="10"/>
      <c r="E679" s="10"/>
      <c r="F679" s="207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</row>
    <row r="680" ht="12.75" customHeight="1">
      <c r="A680" s="10"/>
      <c r="B680" s="10"/>
      <c r="C680" s="10"/>
      <c r="D680" s="10"/>
      <c r="E680" s="10"/>
      <c r="F680" s="207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</row>
    <row r="681" ht="12.75" customHeight="1">
      <c r="A681" s="10"/>
      <c r="B681" s="10"/>
      <c r="C681" s="10"/>
      <c r="D681" s="10"/>
      <c r="E681" s="10"/>
      <c r="F681" s="207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</row>
    <row r="682" ht="12.75" customHeight="1">
      <c r="A682" s="10"/>
      <c r="B682" s="10"/>
      <c r="C682" s="10"/>
      <c r="D682" s="10"/>
      <c r="E682" s="10"/>
      <c r="F682" s="207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</row>
    <row r="683" ht="12.75" customHeight="1">
      <c r="A683" s="10"/>
      <c r="B683" s="10"/>
      <c r="C683" s="10"/>
      <c r="D683" s="10"/>
      <c r="E683" s="10"/>
      <c r="F683" s="207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</row>
    <row r="684" ht="12.75" customHeight="1">
      <c r="A684" s="10"/>
      <c r="B684" s="10"/>
      <c r="C684" s="10"/>
      <c r="D684" s="10"/>
      <c r="E684" s="10"/>
      <c r="F684" s="207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</row>
    <row r="685" ht="12.75" customHeight="1">
      <c r="A685" s="10"/>
      <c r="B685" s="10"/>
      <c r="C685" s="10"/>
      <c r="D685" s="10"/>
      <c r="E685" s="10"/>
      <c r="F685" s="207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</row>
    <row r="686" ht="12.75" customHeight="1">
      <c r="A686" s="10"/>
      <c r="B686" s="10"/>
      <c r="C686" s="10"/>
      <c r="D686" s="10"/>
      <c r="E686" s="10"/>
      <c r="F686" s="207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</row>
    <row r="687" ht="12.75" customHeight="1">
      <c r="A687" s="10"/>
      <c r="B687" s="10"/>
      <c r="C687" s="10"/>
      <c r="D687" s="10"/>
      <c r="E687" s="10"/>
      <c r="F687" s="207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</row>
    <row r="688" ht="12.75" customHeight="1">
      <c r="A688" s="10"/>
      <c r="B688" s="10"/>
      <c r="C688" s="10"/>
      <c r="D688" s="10"/>
      <c r="E688" s="10"/>
      <c r="F688" s="207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</row>
    <row r="689" ht="12.75" customHeight="1">
      <c r="A689" s="10"/>
      <c r="B689" s="10"/>
      <c r="C689" s="10"/>
      <c r="D689" s="10"/>
      <c r="E689" s="10"/>
      <c r="F689" s="207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</row>
    <row r="690" ht="12.75" customHeight="1">
      <c r="A690" s="10"/>
      <c r="B690" s="10"/>
      <c r="C690" s="10"/>
      <c r="D690" s="10"/>
      <c r="E690" s="10"/>
      <c r="F690" s="207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</row>
    <row r="691" ht="12.75" customHeight="1">
      <c r="A691" s="10"/>
      <c r="B691" s="10"/>
      <c r="C691" s="10"/>
      <c r="D691" s="10"/>
      <c r="E691" s="10"/>
      <c r="F691" s="207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</row>
    <row r="692" ht="12.75" customHeight="1">
      <c r="A692" s="10"/>
      <c r="B692" s="10"/>
      <c r="C692" s="10"/>
      <c r="D692" s="10"/>
      <c r="E692" s="10"/>
      <c r="F692" s="207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</row>
    <row r="693" ht="12.75" customHeight="1">
      <c r="A693" s="10"/>
      <c r="B693" s="10"/>
      <c r="C693" s="10"/>
      <c r="D693" s="10"/>
      <c r="E693" s="10"/>
      <c r="F693" s="207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</row>
    <row r="694" ht="12.75" customHeight="1">
      <c r="A694" s="10"/>
      <c r="B694" s="10"/>
      <c r="C694" s="10"/>
      <c r="D694" s="10"/>
      <c r="E694" s="10"/>
      <c r="F694" s="207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</row>
    <row r="695" ht="12.75" customHeight="1">
      <c r="A695" s="10"/>
      <c r="B695" s="10"/>
      <c r="C695" s="10"/>
      <c r="D695" s="10"/>
      <c r="E695" s="10"/>
      <c r="F695" s="207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</row>
    <row r="696" ht="12.75" customHeight="1">
      <c r="A696" s="10"/>
      <c r="B696" s="10"/>
      <c r="C696" s="10"/>
      <c r="D696" s="10"/>
      <c r="E696" s="10"/>
      <c r="F696" s="207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</row>
    <row r="697" ht="12.75" customHeight="1">
      <c r="A697" s="10"/>
      <c r="B697" s="10"/>
      <c r="C697" s="10"/>
      <c r="D697" s="10"/>
      <c r="E697" s="10"/>
      <c r="F697" s="207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</row>
    <row r="698" ht="12.75" customHeight="1">
      <c r="A698" s="10"/>
      <c r="B698" s="10"/>
      <c r="C698" s="10"/>
      <c r="D698" s="10"/>
      <c r="E698" s="10"/>
      <c r="F698" s="207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</row>
    <row r="699" ht="12.75" customHeight="1">
      <c r="A699" s="10"/>
      <c r="B699" s="10"/>
      <c r="C699" s="10"/>
      <c r="D699" s="10"/>
      <c r="E699" s="10"/>
      <c r="F699" s="207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</row>
    <row r="700" ht="12.75" customHeight="1">
      <c r="A700" s="10"/>
      <c r="B700" s="10"/>
      <c r="C700" s="10"/>
      <c r="D700" s="10"/>
      <c r="E700" s="10"/>
      <c r="F700" s="207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</row>
    <row r="701" ht="12.75" customHeight="1">
      <c r="A701" s="10"/>
      <c r="B701" s="10"/>
      <c r="C701" s="10"/>
      <c r="D701" s="10"/>
      <c r="E701" s="10"/>
      <c r="F701" s="207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</row>
    <row r="702" ht="12.75" customHeight="1">
      <c r="A702" s="10"/>
      <c r="B702" s="10"/>
      <c r="C702" s="10"/>
      <c r="D702" s="10"/>
      <c r="E702" s="10"/>
      <c r="F702" s="207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</row>
    <row r="703" ht="12.75" customHeight="1">
      <c r="A703" s="10"/>
      <c r="B703" s="10"/>
      <c r="C703" s="10"/>
      <c r="D703" s="10"/>
      <c r="E703" s="10"/>
      <c r="F703" s="207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</row>
    <row r="704" ht="12.75" customHeight="1">
      <c r="A704" s="10"/>
      <c r="B704" s="10"/>
      <c r="C704" s="10"/>
      <c r="D704" s="10"/>
      <c r="E704" s="10"/>
      <c r="F704" s="207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</row>
    <row r="705" ht="12.75" customHeight="1">
      <c r="A705" s="10"/>
      <c r="B705" s="10"/>
      <c r="C705" s="10"/>
      <c r="D705" s="10"/>
      <c r="E705" s="10"/>
      <c r="F705" s="207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</row>
    <row r="706" ht="12.75" customHeight="1">
      <c r="A706" s="10"/>
      <c r="B706" s="10"/>
      <c r="C706" s="10"/>
      <c r="D706" s="10"/>
      <c r="E706" s="10"/>
      <c r="F706" s="207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</row>
    <row r="707" ht="12.75" customHeight="1">
      <c r="A707" s="10"/>
      <c r="B707" s="10"/>
      <c r="C707" s="10"/>
      <c r="D707" s="10"/>
      <c r="E707" s="10"/>
      <c r="F707" s="207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</row>
    <row r="708" ht="12.75" customHeight="1">
      <c r="A708" s="10"/>
      <c r="B708" s="10"/>
      <c r="C708" s="10"/>
      <c r="D708" s="10"/>
      <c r="E708" s="10"/>
      <c r="F708" s="207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</row>
    <row r="709" ht="12.75" customHeight="1">
      <c r="A709" s="10"/>
      <c r="B709" s="10"/>
      <c r="C709" s="10"/>
      <c r="D709" s="10"/>
      <c r="E709" s="10"/>
      <c r="F709" s="207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</row>
    <row r="710" ht="12.75" customHeight="1">
      <c r="A710" s="10"/>
      <c r="B710" s="10"/>
      <c r="C710" s="10"/>
      <c r="D710" s="10"/>
      <c r="E710" s="10"/>
      <c r="F710" s="207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</row>
    <row r="711" ht="12.75" customHeight="1">
      <c r="A711" s="10"/>
      <c r="B711" s="10"/>
      <c r="C711" s="10"/>
      <c r="D711" s="10"/>
      <c r="E711" s="10"/>
      <c r="F711" s="207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</row>
    <row r="712" ht="12.75" customHeight="1">
      <c r="A712" s="10"/>
      <c r="B712" s="10"/>
      <c r="C712" s="10"/>
      <c r="D712" s="10"/>
      <c r="E712" s="10"/>
      <c r="F712" s="207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</row>
    <row r="713" ht="12.75" customHeight="1">
      <c r="A713" s="10"/>
      <c r="B713" s="10"/>
      <c r="C713" s="10"/>
      <c r="D713" s="10"/>
      <c r="E713" s="10"/>
      <c r="F713" s="207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</row>
    <row r="714" ht="12.75" customHeight="1">
      <c r="A714" s="10"/>
      <c r="B714" s="10"/>
      <c r="C714" s="10"/>
      <c r="D714" s="10"/>
      <c r="E714" s="10"/>
      <c r="F714" s="207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</row>
    <row r="715" ht="12.75" customHeight="1">
      <c r="A715" s="10"/>
      <c r="B715" s="10"/>
      <c r="C715" s="10"/>
      <c r="D715" s="10"/>
      <c r="E715" s="10"/>
      <c r="F715" s="207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</row>
    <row r="716" ht="12.75" customHeight="1">
      <c r="A716" s="10"/>
      <c r="B716" s="10"/>
      <c r="C716" s="10"/>
      <c r="D716" s="10"/>
      <c r="E716" s="10"/>
      <c r="F716" s="207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</row>
    <row r="717" ht="12.75" customHeight="1">
      <c r="A717" s="10"/>
      <c r="B717" s="10"/>
      <c r="C717" s="10"/>
      <c r="D717" s="10"/>
      <c r="E717" s="10"/>
      <c r="F717" s="207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</row>
    <row r="718" ht="12.75" customHeight="1">
      <c r="A718" s="10"/>
      <c r="B718" s="10"/>
      <c r="C718" s="10"/>
      <c r="D718" s="10"/>
      <c r="E718" s="10"/>
      <c r="F718" s="207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</row>
    <row r="719" ht="12.75" customHeight="1">
      <c r="A719" s="10"/>
      <c r="B719" s="10"/>
      <c r="C719" s="10"/>
      <c r="D719" s="10"/>
      <c r="E719" s="10"/>
      <c r="F719" s="207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</row>
    <row r="720" ht="12.75" customHeight="1">
      <c r="A720" s="10"/>
      <c r="B720" s="10"/>
      <c r="C720" s="10"/>
      <c r="D720" s="10"/>
      <c r="E720" s="10"/>
      <c r="F720" s="207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</row>
    <row r="721" ht="12.75" customHeight="1">
      <c r="A721" s="10"/>
      <c r="B721" s="10"/>
      <c r="C721" s="10"/>
      <c r="D721" s="10"/>
      <c r="E721" s="10"/>
      <c r="F721" s="207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</row>
    <row r="722" ht="12.75" customHeight="1">
      <c r="A722" s="10"/>
      <c r="B722" s="10"/>
      <c r="C722" s="10"/>
      <c r="D722" s="10"/>
      <c r="E722" s="10"/>
      <c r="F722" s="207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</row>
    <row r="723" ht="12.75" customHeight="1">
      <c r="A723" s="10"/>
      <c r="B723" s="10"/>
      <c r="C723" s="10"/>
      <c r="D723" s="10"/>
      <c r="E723" s="10"/>
      <c r="F723" s="207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</row>
    <row r="724" ht="12.75" customHeight="1">
      <c r="A724" s="10"/>
      <c r="B724" s="10"/>
      <c r="C724" s="10"/>
      <c r="D724" s="10"/>
      <c r="E724" s="10"/>
      <c r="F724" s="207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</row>
    <row r="725" ht="12.75" customHeight="1">
      <c r="A725" s="10"/>
      <c r="B725" s="10"/>
      <c r="C725" s="10"/>
      <c r="D725" s="10"/>
      <c r="E725" s="10"/>
      <c r="F725" s="207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</row>
    <row r="726" ht="12.75" customHeight="1">
      <c r="A726" s="10"/>
      <c r="B726" s="10"/>
      <c r="C726" s="10"/>
      <c r="D726" s="10"/>
      <c r="E726" s="10"/>
      <c r="F726" s="207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</row>
    <row r="727" ht="12.75" customHeight="1">
      <c r="A727" s="10"/>
      <c r="B727" s="10"/>
      <c r="C727" s="10"/>
      <c r="D727" s="10"/>
      <c r="E727" s="10"/>
      <c r="F727" s="207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</row>
    <row r="728" ht="12.75" customHeight="1">
      <c r="A728" s="10"/>
      <c r="B728" s="10"/>
      <c r="C728" s="10"/>
      <c r="D728" s="10"/>
      <c r="E728" s="10"/>
      <c r="F728" s="207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</row>
    <row r="729" ht="12.75" customHeight="1">
      <c r="A729" s="10"/>
      <c r="B729" s="10"/>
      <c r="C729" s="10"/>
      <c r="D729" s="10"/>
      <c r="E729" s="10"/>
      <c r="F729" s="207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</row>
    <row r="730" ht="12.75" customHeight="1">
      <c r="A730" s="10"/>
      <c r="B730" s="10"/>
      <c r="C730" s="10"/>
      <c r="D730" s="10"/>
      <c r="E730" s="10"/>
      <c r="F730" s="207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</row>
    <row r="731" ht="12.75" customHeight="1">
      <c r="A731" s="10"/>
      <c r="B731" s="10"/>
      <c r="C731" s="10"/>
      <c r="D731" s="10"/>
      <c r="E731" s="10"/>
      <c r="F731" s="207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</row>
    <row r="732" ht="12.75" customHeight="1">
      <c r="A732" s="10"/>
      <c r="B732" s="10"/>
      <c r="C732" s="10"/>
      <c r="D732" s="10"/>
      <c r="E732" s="10"/>
      <c r="F732" s="207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</row>
    <row r="733" ht="12.75" customHeight="1">
      <c r="A733" s="10"/>
      <c r="B733" s="10"/>
      <c r="C733" s="10"/>
      <c r="D733" s="10"/>
      <c r="E733" s="10"/>
      <c r="F733" s="207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</row>
    <row r="734" ht="12.75" customHeight="1">
      <c r="A734" s="10"/>
      <c r="B734" s="10"/>
      <c r="C734" s="10"/>
      <c r="D734" s="10"/>
      <c r="E734" s="10"/>
      <c r="F734" s="207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</row>
    <row r="735" ht="12.75" customHeight="1">
      <c r="A735" s="10"/>
      <c r="B735" s="10"/>
      <c r="C735" s="10"/>
      <c r="D735" s="10"/>
      <c r="E735" s="10"/>
      <c r="F735" s="207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</row>
    <row r="736" ht="12.75" customHeight="1">
      <c r="A736" s="10"/>
      <c r="B736" s="10"/>
      <c r="C736" s="10"/>
      <c r="D736" s="10"/>
      <c r="E736" s="10"/>
      <c r="F736" s="207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</row>
    <row r="737" ht="12.75" customHeight="1">
      <c r="A737" s="10"/>
      <c r="B737" s="10"/>
      <c r="C737" s="10"/>
      <c r="D737" s="10"/>
      <c r="E737" s="10"/>
      <c r="F737" s="207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</row>
    <row r="738" ht="12.75" customHeight="1">
      <c r="A738" s="10"/>
      <c r="B738" s="10"/>
      <c r="C738" s="10"/>
      <c r="D738" s="10"/>
      <c r="E738" s="10"/>
      <c r="F738" s="207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</row>
    <row r="739" ht="12.75" customHeight="1">
      <c r="A739" s="10"/>
      <c r="B739" s="10"/>
      <c r="C739" s="10"/>
      <c r="D739" s="10"/>
      <c r="E739" s="10"/>
      <c r="F739" s="207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</row>
    <row r="740" ht="12.75" customHeight="1">
      <c r="A740" s="10"/>
      <c r="B740" s="10"/>
      <c r="C740" s="10"/>
      <c r="D740" s="10"/>
      <c r="E740" s="10"/>
      <c r="F740" s="207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</row>
    <row r="741" ht="12.75" customHeight="1">
      <c r="A741" s="10"/>
      <c r="B741" s="10"/>
      <c r="C741" s="10"/>
      <c r="D741" s="10"/>
      <c r="E741" s="10"/>
      <c r="F741" s="207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</row>
    <row r="742" ht="12.75" customHeight="1">
      <c r="A742" s="10"/>
      <c r="B742" s="10"/>
      <c r="C742" s="10"/>
      <c r="D742" s="10"/>
      <c r="E742" s="10"/>
      <c r="F742" s="207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</row>
    <row r="743" ht="12.75" customHeight="1">
      <c r="A743" s="10"/>
      <c r="B743" s="10"/>
      <c r="C743" s="10"/>
      <c r="D743" s="10"/>
      <c r="E743" s="10"/>
      <c r="F743" s="207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</row>
    <row r="744" ht="12.75" customHeight="1">
      <c r="A744" s="10"/>
      <c r="B744" s="10"/>
      <c r="C744" s="10"/>
      <c r="D744" s="10"/>
      <c r="E744" s="10"/>
      <c r="F744" s="207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</row>
    <row r="745" ht="12.75" customHeight="1">
      <c r="A745" s="10"/>
      <c r="B745" s="10"/>
      <c r="C745" s="10"/>
      <c r="D745" s="10"/>
      <c r="E745" s="10"/>
      <c r="F745" s="207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</row>
    <row r="746" ht="12.75" customHeight="1">
      <c r="A746" s="10"/>
      <c r="B746" s="10"/>
      <c r="C746" s="10"/>
      <c r="D746" s="10"/>
      <c r="E746" s="10"/>
      <c r="F746" s="207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</row>
    <row r="747" ht="12.75" customHeight="1">
      <c r="A747" s="10"/>
      <c r="B747" s="10"/>
      <c r="C747" s="10"/>
      <c r="D747" s="10"/>
      <c r="E747" s="10"/>
      <c r="F747" s="207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</row>
    <row r="748" ht="12.75" customHeight="1">
      <c r="A748" s="10"/>
      <c r="B748" s="10"/>
      <c r="C748" s="10"/>
      <c r="D748" s="10"/>
      <c r="E748" s="10"/>
      <c r="F748" s="207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</row>
    <row r="749" ht="12.75" customHeight="1">
      <c r="A749" s="10"/>
      <c r="B749" s="10"/>
      <c r="C749" s="10"/>
      <c r="D749" s="10"/>
      <c r="E749" s="10"/>
      <c r="F749" s="207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</row>
    <row r="750" ht="12.75" customHeight="1">
      <c r="A750" s="10"/>
      <c r="B750" s="10"/>
      <c r="C750" s="10"/>
      <c r="D750" s="10"/>
      <c r="E750" s="10"/>
      <c r="F750" s="207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</row>
    <row r="751" ht="12.75" customHeight="1">
      <c r="A751" s="10"/>
      <c r="B751" s="10"/>
      <c r="C751" s="10"/>
      <c r="D751" s="10"/>
      <c r="E751" s="10"/>
      <c r="F751" s="207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</row>
    <row r="752" ht="12.75" customHeight="1">
      <c r="A752" s="10"/>
      <c r="B752" s="10"/>
      <c r="C752" s="10"/>
      <c r="D752" s="10"/>
      <c r="E752" s="10"/>
      <c r="F752" s="207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</row>
    <row r="753" ht="12.75" customHeight="1">
      <c r="A753" s="10"/>
      <c r="B753" s="10"/>
      <c r="C753" s="10"/>
      <c r="D753" s="10"/>
      <c r="E753" s="10"/>
      <c r="F753" s="207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</row>
    <row r="754" ht="12.75" customHeight="1">
      <c r="A754" s="10"/>
      <c r="B754" s="10"/>
      <c r="C754" s="10"/>
      <c r="D754" s="10"/>
      <c r="E754" s="10"/>
      <c r="F754" s="207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</row>
    <row r="755" ht="12.75" customHeight="1">
      <c r="A755" s="10"/>
      <c r="B755" s="10"/>
      <c r="C755" s="10"/>
      <c r="D755" s="10"/>
      <c r="E755" s="10"/>
      <c r="F755" s="207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</row>
    <row r="756" ht="12.75" customHeight="1">
      <c r="A756" s="10"/>
      <c r="B756" s="10"/>
      <c r="C756" s="10"/>
      <c r="D756" s="10"/>
      <c r="E756" s="10"/>
      <c r="F756" s="207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</row>
    <row r="757" ht="12.75" customHeight="1">
      <c r="A757" s="10"/>
      <c r="B757" s="10"/>
      <c r="C757" s="10"/>
      <c r="D757" s="10"/>
      <c r="E757" s="10"/>
      <c r="F757" s="207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</row>
    <row r="758" ht="12.75" customHeight="1">
      <c r="A758" s="10"/>
      <c r="B758" s="10"/>
      <c r="C758" s="10"/>
      <c r="D758" s="10"/>
      <c r="E758" s="10"/>
      <c r="F758" s="207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</row>
    <row r="759" ht="12.75" customHeight="1">
      <c r="A759" s="10"/>
      <c r="B759" s="10"/>
      <c r="C759" s="10"/>
      <c r="D759" s="10"/>
      <c r="E759" s="10"/>
      <c r="F759" s="207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</row>
    <row r="760" ht="12.75" customHeight="1">
      <c r="A760" s="10"/>
      <c r="B760" s="10"/>
      <c r="C760" s="10"/>
      <c r="D760" s="10"/>
      <c r="E760" s="10"/>
      <c r="F760" s="207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</row>
    <row r="761" ht="12.75" customHeight="1">
      <c r="A761" s="10"/>
      <c r="B761" s="10"/>
      <c r="C761" s="10"/>
      <c r="D761" s="10"/>
      <c r="E761" s="10"/>
      <c r="F761" s="207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</row>
    <row r="762" ht="12.75" customHeight="1">
      <c r="A762" s="10"/>
      <c r="B762" s="10"/>
      <c r="C762" s="10"/>
      <c r="D762" s="10"/>
      <c r="E762" s="10"/>
      <c r="F762" s="207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</row>
    <row r="763" ht="12.75" customHeight="1">
      <c r="A763" s="10"/>
      <c r="B763" s="10"/>
      <c r="C763" s="10"/>
      <c r="D763" s="10"/>
      <c r="E763" s="10"/>
      <c r="F763" s="207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</row>
    <row r="764" ht="12.75" customHeight="1">
      <c r="A764" s="10"/>
      <c r="B764" s="10"/>
      <c r="C764" s="10"/>
      <c r="D764" s="10"/>
      <c r="E764" s="10"/>
      <c r="F764" s="207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</row>
    <row r="765" ht="12.75" customHeight="1">
      <c r="A765" s="10"/>
      <c r="B765" s="10"/>
      <c r="C765" s="10"/>
      <c r="D765" s="10"/>
      <c r="E765" s="10"/>
      <c r="F765" s="207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</row>
    <row r="766" ht="12.75" customHeight="1">
      <c r="A766" s="10"/>
      <c r="B766" s="10"/>
      <c r="C766" s="10"/>
      <c r="D766" s="10"/>
      <c r="E766" s="10"/>
      <c r="F766" s="207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</row>
    <row r="767" ht="12.75" customHeight="1">
      <c r="A767" s="10"/>
      <c r="B767" s="10"/>
      <c r="C767" s="10"/>
      <c r="D767" s="10"/>
      <c r="E767" s="10"/>
      <c r="F767" s="207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</row>
    <row r="768" ht="12.75" customHeight="1">
      <c r="A768" s="10"/>
      <c r="B768" s="10"/>
      <c r="C768" s="10"/>
      <c r="D768" s="10"/>
      <c r="E768" s="10"/>
      <c r="F768" s="207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</row>
    <row r="769" ht="12.75" customHeight="1">
      <c r="A769" s="10"/>
      <c r="B769" s="10"/>
      <c r="C769" s="10"/>
      <c r="D769" s="10"/>
      <c r="E769" s="10"/>
      <c r="F769" s="207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</row>
    <row r="770" ht="12.75" customHeight="1">
      <c r="A770" s="10"/>
      <c r="B770" s="10"/>
      <c r="C770" s="10"/>
      <c r="D770" s="10"/>
      <c r="E770" s="10"/>
      <c r="F770" s="207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</row>
    <row r="771" ht="12.75" customHeight="1">
      <c r="A771" s="10"/>
      <c r="B771" s="10"/>
      <c r="C771" s="10"/>
      <c r="D771" s="10"/>
      <c r="E771" s="10"/>
      <c r="F771" s="207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</row>
    <row r="772" ht="12.75" customHeight="1">
      <c r="A772" s="10"/>
      <c r="B772" s="10"/>
      <c r="C772" s="10"/>
      <c r="D772" s="10"/>
      <c r="E772" s="10"/>
      <c r="F772" s="207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</row>
    <row r="773" ht="12.75" customHeight="1">
      <c r="A773" s="10"/>
      <c r="B773" s="10"/>
      <c r="C773" s="10"/>
      <c r="D773" s="10"/>
      <c r="E773" s="10"/>
      <c r="F773" s="207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</row>
    <row r="774" ht="12.75" customHeight="1">
      <c r="A774" s="10"/>
      <c r="B774" s="10"/>
      <c r="C774" s="10"/>
      <c r="D774" s="10"/>
      <c r="E774" s="10"/>
      <c r="F774" s="207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</row>
    <row r="775" ht="12.75" customHeight="1">
      <c r="A775" s="10"/>
      <c r="B775" s="10"/>
      <c r="C775" s="10"/>
      <c r="D775" s="10"/>
      <c r="E775" s="10"/>
      <c r="F775" s="207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</row>
    <row r="776" ht="12.75" customHeight="1">
      <c r="A776" s="10"/>
      <c r="B776" s="10"/>
      <c r="C776" s="10"/>
      <c r="D776" s="10"/>
      <c r="E776" s="10"/>
      <c r="F776" s="207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</row>
    <row r="777" ht="12.75" customHeight="1">
      <c r="A777" s="10"/>
      <c r="B777" s="10"/>
      <c r="C777" s="10"/>
      <c r="D777" s="10"/>
      <c r="E777" s="10"/>
      <c r="F777" s="207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</row>
    <row r="778" ht="12.75" customHeight="1">
      <c r="A778" s="10"/>
      <c r="B778" s="10"/>
      <c r="C778" s="10"/>
      <c r="D778" s="10"/>
      <c r="E778" s="10"/>
      <c r="F778" s="207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</row>
    <row r="779" ht="12.75" customHeight="1">
      <c r="A779" s="10"/>
      <c r="B779" s="10"/>
      <c r="C779" s="10"/>
      <c r="D779" s="10"/>
      <c r="E779" s="10"/>
      <c r="F779" s="207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</row>
    <row r="780" ht="12.75" customHeight="1">
      <c r="A780" s="10"/>
      <c r="B780" s="10"/>
      <c r="C780" s="10"/>
      <c r="D780" s="10"/>
      <c r="E780" s="10"/>
      <c r="F780" s="207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</row>
    <row r="781" ht="12.75" customHeight="1">
      <c r="A781" s="10"/>
      <c r="B781" s="10"/>
      <c r="C781" s="10"/>
      <c r="D781" s="10"/>
      <c r="E781" s="10"/>
      <c r="F781" s="207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</row>
    <row r="782" ht="12.75" customHeight="1">
      <c r="A782" s="10"/>
      <c r="B782" s="10"/>
      <c r="C782" s="10"/>
      <c r="D782" s="10"/>
      <c r="E782" s="10"/>
      <c r="F782" s="207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</row>
    <row r="783" ht="12.75" customHeight="1">
      <c r="A783" s="10"/>
      <c r="B783" s="10"/>
      <c r="C783" s="10"/>
      <c r="D783" s="10"/>
      <c r="E783" s="10"/>
      <c r="F783" s="207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</row>
    <row r="784" ht="12.75" customHeight="1">
      <c r="A784" s="10"/>
      <c r="B784" s="10"/>
      <c r="C784" s="10"/>
      <c r="D784" s="10"/>
      <c r="E784" s="10"/>
      <c r="F784" s="207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</row>
    <row r="785" ht="12.75" customHeight="1">
      <c r="A785" s="10"/>
      <c r="B785" s="10"/>
      <c r="C785" s="10"/>
      <c r="D785" s="10"/>
      <c r="E785" s="10"/>
      <c r="F785" s="207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</row>
    <row r="786" ht="12.75" customHeight="1">
      <c r="A786" s="10"/>
      <c r="B786" s="10"/>
      <c r="C786" s="10"/>
      <c r="D786" s="10"/>
      <c r="E786" s="10"/>
      <c r="F786" s="207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</row>
    <row r="787" ht="12.75" customHeight="1">
      <c r="A787" s="10"/>
      <c r="B787" s="10"/>
      <c r="C787" s="10"/>
      <c r="D787" s="10"/>
      <c r="E787" s="10"/>
      <c r="F787" s="207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</row>
    <row r="788" ht="12.75" customHeight="1">
      <c r="A788" s="10"/>
      <c r="B788" s="10"/>
      <c r="C788" s="10"/>
      <c r="D788" s="10"/>
      <c r="E788" s="10"/>
      <c r="F788" s="207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</row>
    <row r="789" ht="12.75" customHeight="1">
      <c r="A789" s="10"/>
      <c r="B789" s="10"/>
      <c r="C789" s="10"/>
      <c r="D789" s="10"/>
      <c r="E789" s="10"/>
      <c r="F789" s="207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</row>
    <row r="790" ht="12.75" customHeight="1">
      <c r="A790" s="10"/>
      <c r="B790" s="10"/>
      <c r="C790" s="10"/>
      <c r="D790" s="10"/>
      <c r="E790" s="10"/>
      <c r="F790" s="207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</row>
    <row r="791" ht="12.75" customHeight="1">
      <c r="A791" s="10"/>
      <c r="B791" s="10"/>
      <c r="C791" s="10"/>
      <c r="D791" s="10"/>
      <c r="E791" s="10"/>
      <c r="F791" s="207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</row>
    <row r="792" ht="12.75" customHeight="1">
      <c r="A792" s="10"/>
      <c r="B792" s="10"/>
      <c r="C792" s="10"/>
      <c r="D792" s="10"/>
      <c r="E792" s="10"/>
      <c r="F792" s="207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</row>
    <row r="793" ht="12.75" customHeight="1">
      <c r="A793" s="10"/>
      <c r="B793" s="10"/>
      <c r="C793" s="10"/>
      <c r="D793" s="10"/>
      <c r="E793" s="10"/>
      <c r="F793" s="207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</row>
    <row r="794" ht="12.75" customHeight="1">
      <c r="A794" s="10"/>
      <c r="B794" s="10"/>
      <c r="C794" s="10"/>
      <c r="D794" s="10"/>
      <c r="E794" s="10"/>
      <c r="F794" s="207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</row>
    <row r="795" ht="12.75" customHeight="1">
      <c r="A795" s="10"/>
      <c r="B795" s="10"/>
      <c r="C795" s="10"/>
      <c r="D795" s="10"/>
      <c r="E795" s="10"/>
      <c r="F795" s="207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</row>
    <row r="796" ht="12.75" customHeight="1">
      <c r="A796" s="10"/>
      <c r="B796" s="10"/>
      <c r="C796" s="10"/>
      <c r="D796" s="10"/>
      <c r="E796" s="10"/>
      <c r="F796" s="207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</row>
    <row r="797" ht="12.75" customHeight="1">
      <c r="A797" s="10"/>
      <c r="B797" s="10"/>
      <c r="C797" s="10"/>
      <c r="D797" s="10"/>
      <c r="E797" s="10"/>
      <c r="F797" s="207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</row>
    <row r="798" ht="12.75" customHeight="1">
      <c r="A798" s="10"/>
      <c r="B798" s="10"/>
      <c r="C798" s="10"/>
      <c r="D798" s="10"/>
      <c r="E798" s="10"/>
      <c r="F798" s="207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</row>
    <row r="799" ht="12.75" customHeight="1">
      <c r="A799" s="10"/>
      <c r="B799" s="10"/>
      <c r="C799" s="10"/>
      <c r="D799" s="10"/>
      <c r="E799" s="10"/>
      <c r="F799" s="207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</row>
    <row r="800" ht="12.75" customHeight="1">
      <c r="A800" s="10"/>
      <c r="B800" s="10"/>
      <c r="C800" s="10"/>
      <c r="D800" s="10"/>
      <c r="E800" s="10"/>
      <c r="F800" s="207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</row>
    <row r="801" ht="12.75" customHeight="1">
      <c r="A801" s="10"/>
      <c r="B801" s="10"/>
      <c r="C801" s="10"/>
      <c r="D801" s="10"/>
      <c r="E801" s="10"/>
      <c r="F801" s="207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</row>
    <row r="802" ht="12.75" customHeight="1">
      <c r="A802" s="10"/>
      <c r="B802" s="10"/>
      <c r="C802" s="10"/>
      <c r="D802" s="10"/>
      <c r="E802" s="10"/>
      <c r="F802" s="207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</row>
    <row r="803" ht="12.75" customHeight="1">
      <c r="A803" s="10"/>
      <c r="B803" s="10"/>
      <c r="C803" s="10"/>
      <c r="D803" s="10"/>
      <c r="E803" s="10"/>
      <c r="F803" s="207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</row>
    <row r="804" ht="12.75" customHeight="1">
      <c r="A804" s="10"/>
      <c r="B804" s="10"/>
      <c r="C804" s="10"/>
      <c r="D804" s="10"/>
      <c r="E804" s="10"/>
      <c r="F804" s="207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</row>
    <row r="805" ht="12.75" customHeight="1">
      <c r="A805" s="10"/>
      <c r="B805" s="10"/>
      <c r="C805" s="10"/>
      <c r="D805" s="10"/>
      <c r="E805" s="10"/>
      <c r="F805" s="207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</row>
    <row r="806" ht="12.75" customHeight="1">
      <c r="A806" s="10"/>
      <c r="B806" s="10"/>
      <c r="C806" s="10"/>
      <c r="D806" s="10"/>
      <c r="E806" s="10"/>
      <c r="F806" s="207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</row>
    <row r="807" ht="12.75" customHeight="1">
      <c r="A807" s="10"/>
      <c r="B807" s="10"/>
      <c r="C807" s="10"/>
      <c r="D807" s="10"/>
      <c r="E807" s="10"/>
      <c r="F807" s="207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</row>
    <row r="808" ht="12.75" customHeight="1">
      <c r="A808" s="10"/>
      <c r="B808" s="10"/>
      <c r="C808" s="10"/>
      <c r="D808" s="10"/>
      <c r="E808" s="10"/>
      <c r="F808" s="207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</row>
    <row r="809" ht="12.75" customHeight="1">
      <c r="A809" s="10"/>
      <c r="B809" s="10"/>
      <c r="C809" s="10"/>
      <c r="D809" s="10"/>
      <c r="E809" s="10"/>
      <c r="F809" s="207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</row>
    <row r="810" ht="12.75" customHeight="1">
      <c r="A810" s="10"/>
      <c r="B810" s="10"/>
      <c r="C810" s="10"/>
      <c r="D810" s="10"/>
      <c r="E810" s="10"/>
      <c r="F810" s="207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</row>
    <row r="811" ht="12.75" customHeight="1">
      <c r="A811" s="10"/>
      <c r="B811" s="10"/>
      <c r="C811" s="10"/>
      <c r="D811" s="10"/>
      <c r="E811" s="10"/>
      <c r="F811" s="207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</row>
    <row r="812" ht="12.75" customHeight="1">
      <c r="A812" s="10"/>
      <c r="B812" s="10"/>
      <c r="C812" s="10"/>
      <c r="D812" s="10"/>
      <c r="E812" s="10"/>
      <c r="F812" s="207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</row>
    <row r="813" ht="12.75" customHeight="1">
      <c r="A813" s="10"/>
      <c r="B813" s="10"/>
      <c r="C813" s="10"/>
      <c r="D813" s="10"/>
      <c r="E813" s="10"/>
      <c r="F813" s="207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</row>
    <row r="814" ht="12.75" customHeight="1">
      <c r="A814" s="10"/>
      <c r="B814" s="10"/>
      <c r="C814" s="10"/>
      <c r="D814" s="10"/>
      <c r="E814" s="10"/>
      <c r="F814" s="207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</row>
    <row r="815" ht="12.75" customHeight="1">
      <c r="A815" s="10"/>
      <c r="B815" s="10"/>
      <c r="C815" s="10"/>
      <c r="D815" s="10"/>
      <c r="E815" s="10"/>
      <c r="F815" s="207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</row>
    <row r="816" ht="12.75" customHeight="1">
      <c r="A816" s="10"/>
      <c r="B816" s="10"/>
      <c r="C816" s="10"/>
      <c r="D816" s="10"/>
      <c r="E816" s="10"/>
      <c r="F816" s="207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</row>
    <row r="817" ht="12.75" customHeight="1">
      <c r="A817" s="10"/>
      <c r="B817" s="10"/>
      <c r="C817" s="10"/>
      <c r="D817" s="10"/>
      <c r="E817" s="10"/>
      <c r="F817" s="207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</row>
    <row r="818" ht="12.75" customHeight="1">
      <c r="A818" s="10"/>
      <c r="B818" s="10"/>
      <c r="C818" s="10"/>
      <c r="D818" s="10"/>
      <c r="E818" s="10"/>
      <c r="F818" s="207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</row>
    <row r="819" ht="12.75" customHeight="1">
      <c r="A819" s="10"/>
      <c r="B819" s="10"/>
      <c r="C819" s="10"/>
      <c r="D819" s="10"/>
      <c r="E819" s="10"/>
      <c r="F819" s="207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</row>
    <row r="820" ht="12.75" customHeight="1">
      <c r="A820" s="10"/>
      <c r="B820" s="10"/>
      <c r="C820" s="10"/>
      <c r="D820" s="10"/>
      <c r="E820" s="10"/>
      <c r="F820" s="207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</row>
    <row r="821" ht="12.75" customHeight="1">
      <c r="A821" s="10"/>
      <c r="B821" s="10"/>
      <c r="C821" s="10"/>
      <c r="D821" s="10"/>
      <c r="E821" s="10"/>
      <c r="F821" s="207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</row>
    <row r="822" ht="12.75" customHeight="1">
      <c r="A822" s="10"/>
      <c r="B822" s="10"/>
      <c r="C822" s="10"/>
      <c r="D822" s="10"/>
      <c r="E822" s="10"/>
      <c r="F822" s="207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</row>
    <row r="823" ht="12.75" customHeight="1">
      <c r="A823" s="10"/>
      <c r="B823" s="10"/>
      <c r="C823" s="10"/>
      <c r="D823" s="10"/>
      <c r="E823" s="10"/>
      <c r="F823" s="207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</row>
    <row r="824" ht="12.75" customHeight="1">
      <c r="A824" s="10"/>
      <c r="B824" s="10"/>
      <c r="C824" s="10"/>
      <c r="D824" s="10"/>
      <c r="E824" s="10"/>
      <c r="F824" s="207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</row>
    <row r="825" ht="12.75" customHeight="1">
      <c r="A825" s="10"/>
      <c r="B825" s="10"/>
      <c r="C825" s="10"/>
      <c r="D825" s="10"/>
      <c r="E825" s="10"/>
      <c r="F825" s="207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</row>
    <row r="826" ht="12.75" customHeight="1">
      <c r="A826" s="10"/>
      <c r="B826" s="10"/>
      <c r="C826" s="10"/>
      <c r="D826" s="10"/>
      <c r="E826" s="10"/>
      <c r="F826" s="207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</row>
    <row r="827" ht="12.75" customHeight="1">
      <c r="A827" s="10"/>
      <c r="B827" s="10"/>
      <c r="C827" s="10"/>
      <c r="D827" s="10"/>
      <c r="E827" s="10"/>
      <c r="F827" s="207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</row>
    <row r="828" ht="12.75" customHeight="1">
      <c r="A828" s="10"/>
      <c r="B828" s="10"/>
      <c r="C828" s="10"/>
      <c r="D828" s="10"/>
      <c r="E828" s="10"/>
      <c r="F828" s="207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</row>
    <row r="829" ht="12.75" customHeight="1">
      <c r="A829" s="10"/>
      <c r="B829" s="10"/>
      <c r="C829" s="10"/>
      <c r="D829" s="10"/>
      <c r="E829" s="10"/>
      <c r="F829" s="207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</row>
    <row r="830" ht="12.75" customHeight="1">
      <c r="A830" s="10"/>
      <c r="B830" s="10"/>
      <c r="C830" s="10"/>
      <c r="D830" s="10"/>
      <c r="E830" s="10"/>
      <c r="F830" s="207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</row>
    <row r="831" ht="12.75" customHeight="1">
      <c r="A831" s="10"/>
      <c r="B831" s="10"/>
      <c r="C831" s="10"/>
      <c r="D831" s="10"/>
      <c r="E831" s="10"/>
      <c r="F831" s="207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</row>
    <row r="832" ht="12.75" customHeight="1">
      <c r="A832" s="10"/>
      <c r="B832" s="10"/>
      <c r="C832" s="10"/>
      <c r="D832" s="10"/>
      <c r="E832" s="10"/>
      <c r="F832" s="207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</row>
    <row r="833" ht="12.75" customHeight="1">
      <c r="A833" s="10"/>
      <c r="B833" s="10"/>
      <c r="C833" s="10"/>
      <c r="D833" s="10"/>
      <c r="E833" s="10"/>
      <c r="F833" s="207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</row>
    <row r="834" ht="12.75" customHeight="1">
      <c r="A834" s="10"/>
      <c r="B834" s="10"/>
      <c r="C834" s="10"/>
      <c r="D834" s="10"/>
      <c r="E834" s="10"/>
      <c r="F834" s="207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</row>
    <row r="835" ht="12.75" customHeight="1">
      <c r="A835" s="10"/>
      <c r="B835" s="10"/>
      <c r="C835" s="10"/>
      <c r="D835" s="10"/>
      <c r="E835" s="10"/>
      <c r="F835" s="207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</row>
    <row r="836" ht="12.75" customHeight="1">
      <c r="A836" s="10"/>
      <c r="B836" s="10"/>
      <c r="C836" s="10"/>
      <c r="D836" s="10"/>
      <c r="E836" s="10"/>
      <c r="F836" s="207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</row>
    <row r="837" ht="12.75" customHeight="1">
      <c r="A837" s="10"/>
      <c r="B837" s="10"/>
      <c r="C837" s="10"/>
      <c r="D837" s="10"/>
      <c r="E837" s="10"/>
      <c r="F837" s="207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</row>
    <row r="838" ht="12.75" customHeight="1">
      <c r="A838" s="10"/>
      <c r="B838" s="10"/>
      <c r="C838" s="10"/>
      <c r="D838" s="10"/>
      <c r="E838" s="10"/>
      <c r="F838" s="207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</row>
    <row r="839" ht="12.75" customHeight="1">
      <c r="A839" s="10"/>
      <c r="B839" s="10"/>
      <c r="C839" s="10"/>
      <c r="D839" s="10"/>
      <c r="E839" s="10"/>
      <c r="F839" s="207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</row>
    <row r="840" ht="12.75" customHeight="1">
      <c r="A840" s="10"/>
      <c r="B840" s="10"/>
      <c r="C840" s="10"/>
      <c r="D840" s="10"/>
      <c r="E840" s="10"/>
      <c r="F840" s="207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</row>
    <row r="841" ht="12.75" customHeight="1">
      <c r="A841" s="10"/>
      <c r="B841" s="10"/>
      <c r="C841" s="10"/>
      <c r="D841" s="10"/>
      <c r="E841" s="10"/>
      <c r="F841" s="207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</row>
    <row r="842" ht="12.75" customHeight="1">
      <c r="A842" s="10"/>
      <c r="B842" s="10"/>
      <c r="C842" s="10"/>
      <c r="D842" s="10"/>
      <c r="E842" s="10"/>
      <c r="F842" s="207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</row>
    <row r="843" ht="12.75" customHeight="1">
      <c r="A843" s="10"/>
      <c r="B843" s="10"/>
      <c r="C843" s="10"/>
      <c r="D843" s="10"/>
      <c r="E843" s="10"/>
      <c r="F843" s="207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</row>
    <row r="844" ht="12.75" customHeight="1">
      <c r="A844" s="10"/>
      <c r="B844" s="10"/>
      <c r="C844" s="10"/>
      <c r="D844" s="10"/>
      <c r="E844" s="10"/>
      <c r="F844" s="207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</row>
    <row r="845" ht="12.75" customHeight="1">
      <c r="A845" s="10"/>
      <c r="B845" s="10"/>
      <c r="C845" s="10"/>
      <c r="D845" s="10"/>
      <c r="E845" s="10"/>
      <c r="F845" s="207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</row>
    <row r="846" ht="12.75" customHeight="1">
      <c r="A846" s="10"/>
      <c r="B846" s="10"/>
      <c r="C846" s="10"/>
      <c r="D846" s="10"/>
      <c r="E846" s="10"/>
      <c r="F846" s="207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</row>
    <row r="847" ht="12.75" customHeight="1">
      <c r="A847" s="10"/>
      <c r="B847" s="10"/>
      <c r="C847" s="10"/>
      <c r="D847" s="10"/>
      <c r="E847" s="10"/>
      <c r="F847" s="207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</row>
    <row r="848" ht="12.75" customHeight="1">
      <c r="A848" s="10"/>
      <c r="B848" s="10"/>
      <c r="C848" s="10"/>
      <c r="D848" s="10"/>
      <c r="E848" s="10"/>
      <c r="F848" s="207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</row>
    <row r="849" ht="12.75" customHeight="1">
      <c r="A849" s="10"/>
      <c r="B849" s="10"/>
      <c r="C849" s="10"/>
      <c r="D849" s="10"/>
      <c r="E849" s="10"/>
      <c r="F849" s="207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</row>
    <row r="850" ht="12.75" customHeight="1">
      <c r="A850" s="10"/>
      <c r="B850" s="10"/>
      <c r="C850" s="10"/>
      <c r="D850" s="10"/>
      <c r="E850" s="10"/>
      <c r="F850" s="207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</row>
    <row r="851" ht="12.75" customHeight="1">
      <c r="A851" s="10"/>
      <c r="B851" s="10"/>
      <c r="C851" s="10"/>
      <c r="D851" s="10"/>
      <c r="E851" s="10"/>
      <c r="F851" s="207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</row>
    <row r="852" ht="12.75" customHeight="1">
      <c r="A852" s="10"/>
      <c r="B852" s="10"/>
      <c r="C852" s="10"/>
      <c r="D852" s="10"/>
      <c r="E852" s="10"/>
      <c r="F852" s="207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</row>
    <row r="853" ht="12.75" customHeight="1">
      <c r="A853" s="10"/>
      <c r="B853" s="10"/>
      <c r="C853" s="10"/>
      <c r="D853" s="10"/>
      <c r="E853" s="10"/>
      <c r="F853" s="207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</row>
    <row r="854" ht="12.75" customHeight="1">
      <c r="A854" s="10"/>
      <c r="B854" s="10"/>
      <c r="C854" s="10"/>
      <c r="D854" s="10"/>
      <c r="E854" s="10"/>
      <c r="F854" s="207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</row>
    <row r="855" ht="12.75" customHeight="1">
      <c r="A855" s="10"/>
      <c r="B855" s="10"/>
      <c r="C855" s="10"/>
      <c r="D855" s="10"/>
      <c r="E855" s="10"/>
      <c r="F855" s="207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</row>
    <row r="856" ht="12.75" customHeight="1">
      <c r="A856" s="10"/>
      <c r="B856" s="10"/>
      <c r="C856" s="10"/>
      <c r="D856" s="10"/>
      <c r="E856" s="10"/>
      <c r="F856" s="207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</row>
    <row r="857" ht="12.75" customHeight="1">
      <c r="A857" s="10"/>
      <c r="B857" s="10"/>
      <c r="C857" s="10"/>
      <c r="D857" s="10"/>
      <c r="E857" s="10"/>
      <c r="F857" s="207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</row>
    <row r="858" ht="12.75" customHeight="1">
      <c r="A858" s="10"/>
      <c r="B858" s="10"/>
      <c r="C858" s="10"/>
      <c r="D858" s="10"/>
      <c r="E858" s="10"/>
      <c r="F858" s="207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</row>
    <row r="859" ht="12.75" customHeight="1">
      <c r="A859" s="10"/>
      <c r="B859" s="10"/>
      <c r="C859" s="10"/>
      <c r="D859" s="10"/>
      <c r="E859" s="10"/>
      <c r="F859" s="207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</row>
    <row r="860" ht="12.75" customHeight="1">
      <c r="A860" s="10"/>
      <c r="B860" s="10"/>
      <c r="C860" s="10"/>
      <c r="D860" s="10"/>
      <c r="E860" s="10"/>
      <c r="F860" s="207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</row>
    <row r="861" ht="12.75" customHeight="1">
      <c r="A861" s="10"/>
      <c r="B861" s="10"/>
      <c r="C861" s="10"/>
      <c r="D861" s="10"/>
      <c r="E861" s="10"/>
      <c r="F861" s="207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</row>
    <row r="862" ht="12.75" customHeight="1">
      <c r="A862" s="10"/>
      <c r="B862" s="10"/>
      <c r="C862" s="10"/>
      <c r="D862" s="10"/>
      <c r="E862" s="10"/>
      <c r="F862" s="207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</row>
    <row r="863" ht="12.75" customHeight="1">
      <c r="A863" s="10"/>
      <c r="B863" s="10"/>
      <c r="C863" s="10"/>
      <c r="D863" s="10"/>
      <c r="E863" s="10"/>
      <c r="F863" s="207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</row>
    <row r="864" ht="12.75" customHeight="1">
      <c r="A864" s="10"/>
      <c r="B864" s="10"/>
      <c r="C864" s="10"/>
      <c r="D864" s="10"/>
      <c r="E864" s="10"/>
      <c r="F864" s="207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</row>
    <row r="865" ht="12.75" customHeight="1">
      <c r="A865" s="10"/>
      <c r="B865" s="10"/>
      <c r="C865" s="10"/>
      <c r="D865" s="10"/>
      <c r="E865" s="10"/>
      <c r="F865" s="207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</row>
    <row r="866" ht="12.75" customHeight="1">
      <c r="A866" s="10"/>
      <c r="B866" s="10"/>
      <c r="C866" s="10"/>
      <c r="D866" s="10"/>
      <c r="E866" s="10"/>
      <c r="F866" s="207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</row>
    <row r="867" ht="12.75" customHeight="1">
      <c r="A867" s="10"/>
      <c r="B867" s="10"/>
      <c r="C867" s="10"/>
      <c r="D867" s="10"/>
      <c r="E867" s="10"/>
      <c r="F867" s="207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</row>
    <row r="868" ht="12.75" customHeight="1">
      <c r="A868" s="10"/>
      <c r="B868" s="10"/>
      <c r="C868" s="10"/>
      <c r="D868" s="10"/>
      <c r="E868" s="10"/>
      <c r="F868" s="207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</row>
    <row r="869" ht="12.75" customHeight="1">
      <c r="A869" s="10"/>
      <c r="B869" s="10"/>
      <c r="C869" s="10"/>
      <c r="D869" s="10"/>
      <c r="E869" s="10"/>
      <c r="F869" s="207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</row>
    <row r="870" ht="12.75" customHeight="1">
      <c r="A870" s="10"/>
      <c r="B870" s="10"/>
      <c r="C870" s="10"/>
      <c r="D870" s="10"/>
      <c r="E870" s="10"/>
      <c r="F870" s="207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</row>
    <row r="871" ht="12.75" customHeight="1">
      <c r="A871" s="10"/>
      <c r="B871" s="10"/>
      <c r="C871" s="10"/>
      <c r="D871" s="10"/>
      <c r="E871" s="10"/>
      <c r="F871" s="207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</row>
    <row r="872" ht="12.75" customHeight="1">
      <c r="A872" s="10"/>
      <c r="B872" s="10"/>
      <c r="C872" s="10"/>
      <c r="D872" s="10"/>
      <c r="E872" s="10"/>
      <c r="F872" s="207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</row>
    <row r="873" ht="12.75" customHeight="1">
      <c r="A873" s="10"/>
      <c r="B873" s="10"/>
      <c r="C873" s="10"/>
      <c r="D873" s="10"/>
      <c r="E873" s="10"/>
      <c r="F873" s="207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</row>
    <row r="874" ht="12.75" customHeight="1">
      <c r="A874" s="10"/>
      <c r="B874" s="10"/>
      <c r="C874" s="10"/>
      <c r="D874" s="10"/>
      <c r="E874" s="10"/>
      <c r="F874" s="207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</row>
    <row r="875" ht="12.75" customHeight="1">
      <c r="A875" s="10"/>
      <c r="B875" s="10"/>
      <c r="C875" s="10"/>
      <c r="D875" s="10"/>
      <c r="E875" s="10"/>
      <c r="F875" s="207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</row>
    <row r="876" ht="12.75" customHeight="1">
      <c r="A876" s="10"/>
      <c r="B876" s="10"/>
      <c r="C876" s="10"/>
      <c r="D876" s="10"/>
      <c r="E876" s="10"/>
      <c r="F876" s="207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</row>
    <row r="877" ht="12.75" customHeight="1">
      <c r="A877" s="10"/>
      <c r="B877" s="10"/>
      <c r="C877" s="10"/>
      <c r="D877" s="10"/>
      <c r="E877" s="10"/>
      <c r="F877" s="207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</row>
    <row r="878" ht="12.75" customHeight="1">
      <c r="A878" s="10"/>
      <c r="B878" s="10"/>
      <c r="C878" s="10"/>
      <c r="D878" s="10"/>
      <c r="E878" s="10"/>
      <c r="F878" s="207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</row>
    <row r="879" ht="12.75" customHeight="1">
      <c r="A879" s="10"/>
      <c r="B879" s="10"/>
      <c r="C879" s="10"/>
      <c r="D879" s="10"/>
      <c r="E879" s="10"/>
      <c r="F879" s="207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</row>
    <row r="880" ht="12.75" customHeight="1">
      <c r="A880" s="10"/>
      <c r="B880" s="10"/>
      <c r="C880" s="10"/>
      <c r="D880" s="10"/>
      <c r="E880" s="10"/>
      <c r="F880" s="207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</row>
    <row r="881" ht="12.75" customHeight="1">
      <c r="A881" s="10"/>
      <c r="B881" s="10"/>
      <c r="C881" s="10"/>
      <c r="D881" s="10"/>
      <c r="E881" s="10"/>
      <c r="F881" s="207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</row>
    <row r="882" ht="12.75" customHeight="1">
      <c r="A882" s="10"/>
      <c r="B882" s="10"/>
      <c r="C882" s="10"/>
      <c r="D882" s="10"/>
      <c r="E882" s="10"/>
      <c r="F882" s="207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</row>
    <row r="883" ht="12.75" customHeight="1">
      <c r="A883" s="10"/>
      <c r="B883" s="10"/>
      <c r="C883" s="10"/>
      <c r="D883" s="10"/>
      <c r="E883" s="10"/>
      <c r="F883" s="207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</row>
    <row r="884" ht="12.75" customHeight="1">
      <c r="A884" s="10"/>
      <c r="B884" s="10"/>
      <c r="C884" s="10"/>
      <c r="D884" s="10"/>
      <c r="E884" s="10"/>
      <c r="F884" s="207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</row>
    <row r="885" ht="12.75" customHeight="1">
      <c r="A885" s="10"/>
      <c r="B885" s="10"/>
      <c r="C885" s="10"/>
      <c r="D885" s="10"/>
      <c r="E885" s="10"/>
      <c r="F885" s="207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</row>
    <row r="886" ht="12.75" customHeight="1">
      <c r="A886" s="10"/>
      <c r="B886" s="10"/>
      <c r="C886" s="10"/>
      <c r="D886" s="10"/>
      <c r="E886" s="10"/>
      <c r="F886" s="207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</row>
    <row r="887" ht="12.75" customHeight="1">
      <c r="A887" s="10"/>
      <c r="B887" s="10"/>
      <c r="C887" s="10"/>
      <c r="D887" s="10"/>
      <c r="E887" s="10"/>
      <c r="F887" s="207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</row>
    <row r="888" ht="12.75" customHeight="1">
      <c r="A888" s="10"/>
      <c r="B888" s="10"/>
      <c r="C888" s="10"/>
      <c r="D888" s="10"/>
      <c r="E888" s="10"/>
      <c r="F888" s="207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</row>
    <row r="889" ht="12.75" customHeight="1">
      <c r="A889" s="10"/>
      <c r="B889" s="10"/>
      <c r="C889" s="10"/>
      <c r="D889" s="10"/>
      <c r="E889" s="10"/>
      <c r="F889" s="207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</row>
    <row r="890" ht="12.75" customHeight="1">
      <c r="A890" s="10"/>
      <c r="B890" s="10"/>
      <c r="C890" s="10"/>
      <c r="D890" s="10"/>
      <c r="E890" s="10"/>
      <c r="F890" s="207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</row>
    <row r="891" ht="12.75" customHeight="1">
      <c r="A891" s="10"/>
      <c r="B891" s="10"/>
      <c r="C891" s="10"/>
      <c r="D891" s="10"/>
      <c r="E891" s="10"/>
      <c r="F891" s="207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</row>
    <row r="892" ht="12.75" customHeight="1">
      <c r="A892" s="10"/>
      <c r="B892" s="10"/>
      <c r="C892" s="10"/>
      <c r="D892" s="10"/>
      <c r="E892" s="10"/>
      <c r="F892" s="207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</row>
    <row r="893" ht="12.75" customHeight="1">
      <c r="A893" s="10"/>
      <c r="B893" s="10"/>
      <c r="C893" s="10"/>
      <c r="D893" s="10"/>
      <c r="E893" s="10"/>
      <c r="F893" s="207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</row>
    <row r="894" ht="12.75" customHeight="1">
      <c r="A894" s="10"/>
      <c r="B894" s="10"/>
      <c r="C894" s="10"/>
      <c r="D894" s="10"/>
      <c r="E894" s="10"/>
      <c r="F894" s="207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</row>
    <row r="895" ht="12.75" customHeight="1">
      <c r="A895" s="10"/>
      <c r="B895" s="10"/>
      <c r="C895" s="10"/>
      <c r="D895" s="10"/>
      <c r="E895" s="10"/>
      <c r="F895" s="207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</row>
    <row r="896" ht="12.75" customHeight="1">
      <c r="A896" s="10"/>
      <c r="B896" s="10"/>
      <c r="C896" s="10"/>
      <c r="D896" s="10"/>
      <c r="E896" s="10"/>
      <c r="F896" s="207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</row>
    <row r="897" ht="12.75" customHeight="1">
      <c r="A897" s="10"/>
      <c r="B897" s="10"/>
      <c r="C897" s="10"/>
      <c r="D897" s="10"/>
      <c r="E897" s="10"/>
      <c r="F897" s="207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</row>
    <row r="898" ht="12.75" customHeight="1">
      <c r="A898" s="10"/>
      <c r="B898" s="10"/>
      <c r="C898" s="10"/>
      <c r="D898" s="10"/>
      <c r="E898" s="10"/>
      <c r="F898" s="207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</row>
    <row r="899" ht="12.75" customHeight="1">
      <c r="A899" s="10"/>
      <c r="B899" s="10"/>
      <c r="C899" s="10"/>
      <c r="D899" s="10"/>
      <c r="E899" s="10"/>
      <c r="F899" s="207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</row>
    <row r="900" ht="12.75" customHeight="1">
      <c r="A900" s="10"/>
      <c r="B900" s="10"/>
      <c r="C900" s="10"/>
      <c r="D900" s="10"/>
      <c r="E900" s="10"/>
      <c r="F900" s="207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</row>
    <row r="901" ht="12.75" customHeight="1">
      <c r="A901" s="10"/>
      <c r="B901" s="10"/>
      <c r="C901" s="10"/>
      <c r="D901" s="10"/>
      <c r="E901" s="10"/>
      <c r="F901" s="207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</row>
    <row r="902" ht="12.75" customHeight="1">
      <c r="A902" s="10"/>
      <c r="B902" s="10"/>
      <c r="C902" s="10"/>
      <c r="D902" s="10"/>
      <c r="E902" s="10"/>
      <c r="F902" s="207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</row>
    <row r="903" ht="12.75" customHeight="1">
      <c r="A903" s="10"/>
      <c r="B903" s="10"/>
      <c r="C903" s="10"/>
      <c r="D903" s="10"/>
      <c r="E903" s="10"/>
      <c r="F903" s="207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</row>
    <row r="904" ht="12.75" customHeight="1">
      <c r="A904" s="10"/>
      <c r="B904" s="10"/>
      <c r="C904" s="10"/>
      <c r="D904" s="10"/>
      <c r="E904" s="10"/>
      <c r="F904" s="207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</row>
    <row r="905" ht="12.75" customHeight="1">
      <c r="A905" s="10"/>
      <c r="B905" s="10"/>
      <c r="C905" s="10"/>
      <c r="D905" s="10"/>
      <c r="E905" s="10"/>
      <c r="F905" s="207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</row>
    <row r="906" ht="12.75" customHeight="1">
      <c r="A906" s="10"/>
      <c r="B906" s="10"/>
      <c r="C906" s="10"/>
      <c r="D906" s="10"/>
      <c r="E906" s="10"/>
      <c r="F906" s="207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</row>
    <row r="907" ht="12.75" customHeight="1">
      <c r="A907" s="10"/>
      <c r="B907" s="10"/>
      <c r="C907" s="10"/>
      <c r="D907" s="10"/>
      <c r="E907" s="10"/>
      <c r="F907" s="207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</row>
    <row r="908" ht="12.75" customHeight="1">
      <c r="A908" s="10"/>
      <c r="B908" s="10"/>
      <c r="C908" s="10"/>
      <c r="D908" s="10"/>
      <c r="E908" s="10"/>
      <c r="F908" s="207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</row>
    <row r="909" ht="12.75" customHeight="1">
      <c r="A909" s="10"/>
      <c r="B909" s="10"/>
      <c r="C909" s="10"/>
      <c r="D909" s="10"/>
      <c r="E909" s="10"/>
      <c r="F909" s="207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</row>
    <row r="910" ht="12.75" customHeight="1">
      <c r="A910" s="10"/>
      <c r="B910" s="10"/>
      <c r="C910" s="10"/>
      <c r="D910" s="10"/>
      <c r="E910" s="10"/>
      <c r="F910" s="207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</row>
    <row r="911" ht="12.75" customHeight="1">
      <c r="A911" s="10"/>
      <c r="B911" s="10"/>
      <c r="C911" s="10"/>
      <c r="D911" s="10"/>
      <c r="E911" s="10"/>
      <c r="F911" s="207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</row>
    <row r="912" ht="12.75" customHeight="1">
      <c r="A912" s="10"/>
      <c r="B912" s="10"/>
      <c r="C912" s="10"/>
      <c r="D912" s="10"/>
      <c r="E912" s="10"/>
      <c r="F912" s="207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</row>
    <row r="913" ht="12.75" customHeight="1">
      <c r="A913" s="10"/>
      <c r="B913" s="10"/>
      <c r="C913" s="10"/>
      <c r="D913" s="10"/>
      <c r="E913" s="10"/>
      <c r="F913" s="207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</row>
    <row r="914" ht="12.75" customHeight="1">
      <c r="A914" s="10"/>
      <c r="B914" s="10"/>
      <c r="C914" s="10"/>
      <c r="D914" s="10"/>
      <c r="E914" s="10"/>
      <c r="F914" s="207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</row>
    <row r="915" ht="12.75" customHeight="1">
      <c r="A915" s="10"/>
      <c r="B915" s="10"/>
      <c r="C915" s="10"/>
      <c r="D915" s="10"/>
      <c r="E915" s="10"/>
      <c r="F915" s="207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</row>
    <row r="916" ht="12.75" customHeight="1">
      <c r="A916" s="10"/>
      <c r="B916" s="10"/>
      <c r="C916" s="10"/>
      <c r="D916" s="10"/>
      <c r="E916" s="10"/>
      <c r="F916" s="207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</row>
    <row r="917" ht="12.75" customHeight="1">
      <c r="A917" s="10"/>
      <c r="B917" s="10"/>
      <c r="C917" s="10"/>
      <c r="D917" s="10"/>
      <c r="E917" s="10"/>
      <c r="F917" s="207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</row>
    <row r="918" ht="12.75" customHeight="1">
      <c r="A918" s="10"/>
      <c r="B918" s="10"/>
      <c r="C918" s="10"/>
      <c r="D918" s="10"/>
      <c r="E918" s="10"/>
      <c r="F918" s="207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</row>
    <row r="919" ht="12.75" customHeight="1">
      <c r="A919" s="10"/>
      <c r="B919" s="10"/>
      <c r="C919" s="10"/>
      <c r="D919" s="10"/>
      <c r="E919" s="10"/>
      <c r="F919" s="207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</row>
    <row r="920" ht="12.75" customHeight="1">
      <c r="A920" s="10"/>
      <c r="B920" s="10"/>
      <c r="C920" s="10"/>
      <c r="D920" s="10"/>
      <c r="E920" s="10"/>
      <c r="F920" s="207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</row>
    <row r="921" ht="12.75" customHeight="1">
      <c r="A921" s="10"/>
      <c r="B921" s="10"/>
      <c r="C921" s="10"/>
      <c r="D921" s="10"/>
      <c r="E921" s="10"/>
      <c r="F921" s="207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</row>
    <row r="922" ht="12.75" customHeight="1">
      <c r="A922" s="10"/>
      <c r="B922" s="10"/>
      <c r="C922" s="10"/>
      <c r="D922" s="10"/>
      <c r="E922" s="10"/>
      <c r="F922" s="207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</row>
    <row r="923" ht="12.75" customHeight="1">
      <c r="A923" s="10"/>
      <c r="B923" s="10"/>
      <c r="C923" s="10"/>
      <c r="D923" s="10"/>
      <c r="E923" s="10"/>
      <c r="F923" s="207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</row>
    <row r="924" ht="12.75" customHeight="1">
      <c r="A924" s="10"/>
      <c r="B924" s="10"/>
      <c r="C924" s="10"/>
      <c r="D924" s="10"/>
      <c r="E924" s="10"/>
      <c r="F924" s="207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</row>
    <row r="925" ht="12.75" customHeight="1">
      <c r="A925" s="10"/>
      <c r="B925" s="10"/>
      <c r="C925" s="10"/>
      <c r="D925" s="10"/>
      <c r="E925" s="10"/>
      <c r="F925" s="207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</row>
    <row r="926" ht="12.75" customHeight="1">
      <c r="A926" s="10"/>
      <c r="B926" s="10"/>
      <c r="C926" s="10"/>
      <c r="D926" s="10"/>
      <c r="E926" s="10"/>
      <c r="F926" s="207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</row>
    <row r="927" ht="12.75" customHeight="1">
      <c r="A927" s="10"/>
      <c r="B927" s="10"/>
      <c r="C927" s="10"/>
      <c r="D927" s="10"/>
      <c r="E927" s="10"/>
      <c r="F927" s="207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</row>
    <row r="928" ht="12.75" customHeight="1">
      <c r="A928" s="10"/>
      <c r="B928" s="10"/>
      <c r="C928" s="10"/>
      <c r="D928" s="10"/>
      <c r="E928" s="10"/>
      <c r="F928" s="207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</row>
    <row r="929" ht="12.75" customHeight="1">
      <c r="A929" s="10"/>
      <c r="B929" s="10"/>
      <c r="C929" s="10"/>
      <c r="D929" s="10"/>
      <c r="E929" s="10"/>
      <c r="F929" s="207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</row>
    <row r="930" ht="12.75" customHeight="1">
      <c r="A930" s="10"/>
      <c r="B930" s="10"/>
      <c r="C930" s="10"/>
      <c r="D930" s="10"/>
      <c r="E930" s="10"/>
      <c r="F930" s="207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</row>
    <row r="931" ht="12.75" customHeight="1">
      <c r="A931" s="10"/>
      <c r="B931" s="10"/>
      <c r="C931" s="10"/>
      <c r="D931" s="10"/>
      <c r="E931" s="10"/>
      <c r="F931" s="207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</row>
    <row r="932" ht="12.75" customHeight="1">
      <c r="A932" s="10"/>
      <c r="B932" s="10"/>
      <c r="C932" s="10"/>
      <c r="D932" s="10"/>
      <c r="E932" s="10"/>
      <c r="F932" s="207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</row>
    <row r="933" ht="12.75" customHeight="1">
      <c r="A933" s="10"/>
      <c r="B933" s="10"/>
      <c r="C933" s="10"/>
      <c r="D933" s="10"/>
      <c r="E933" s="10"/>
      <c r="F933" s="207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</row>
    <row r="934" ht="12.75" customHeight="1">
      <c r="A934" s="10"/>
      <c r="B934" s="10"/>
      <c r="C934" s="10"/>
      <c r="D934" s="10"/>
      <c r="E934" s="10"/>
      <c r="F934" s="207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</row>
    <row r="935" ht="12.75" customHeight="1">
      <c r="A935" s="10"/>
      <c r="B935" s="10"/>
      <c r="C935" s="10"/>
      <c r="D935" s="10"/>
      <c r="E935" s="10"/>
      <c r="F935" s="207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</row>
    <row r="936" ht="12.75" customHeight="1">
      <c r="A936" s="10"/>
      <c r="B936" s="10"/>
      <c r="C936" s="10"/>
      <c r="D936" s="10"/>
      <c r="E936" s="10"/>
      <c r="F936" s="207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</row>
    <row r="937" ht="12.75" customHeight="1">
      <c r="A937" s="10"/>
      <c r="B937" s="10"/>
      <c r="C937" s="10"/>
      <c r="D937" s="10"/>
      <c r="E937" s="10"/>
      <c r="F937" s="207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</row>
    <row r="938" ht="12.75" customHeight="1">
      <c r="A938" s="10"/>
      <c r="B938" s="10"/>
      <c r="C938" s="10"/>
      <c r="D938" s="10"/>
      <c r="E938" s="10"/>
      <c r="F938" s="207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</row>
    <row r="939" ht="12.75" customHeight="1">
      <c r="A939" s="10"/>
      <c r="B939" s="10"/>
      <c r="C939" s="10"/>
      <c r="D939" s="10"/>
      <c r="E939" s="10"/>
      <c r="F939" s="207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</row>
    <row r="940" ht="12.75" customHeight="1">
      <c r="A940" s="10"/>
      <c r="B940" s="10"/>
      <c r="C940" s="10"/>
      <c r="D940" s="10"/>
      <c r="E940" s="10"/>
      <c r="F940" s="207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</row>
    <row r="941" ht="12.75" customHeight="1">
      <c r="A941" s="10"/>
      <c r="B941" s="10"/>
      <c r="C941" s="10"/>
      <c r="D941" s="10"/>
      <c r="E941" s="10"/>
      <c r="F941" s="207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</row>
    <row r="942" ht="12.75" customHeight="1">
      <c r="A942" s="10"/>
      <c r="B942" s="10"/>
      <c r="C942" s="10"/>
      <c r="D942" s="10"/>
      <c r="E942" s="10"/>
      <c r="F942" s="207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</row>
    <row r="943" ht="12.75" customHeight="1">
      <c r="A943" s="10"/>
      <c r="B943" s="10"/>
      <c r="C943" s="10"/>
      <c r="D943" s="10"/>
      <c r="E943" s="10"/>
      <c r="F943" s="207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</row>
    <row r="944" ht="12.75" customHeight="1">
      <c r="A944" s="10"/>
      <c r="B944" s="10"/>
      <c r="C944" s="10"/>
      <c r="D944" s="10"/>
      <c r="E944" s="10"/>
      <c r="F944" s="207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</row>
    <row r="945" ht="12.75" customHeight="1">
      <c r="A945" s="10"/>
      <c r="B945" s="10"/>
      <c r="C945" s="10"/>
      <c r="D945" s="10"/>
      <c r="E945" s="10"/>
      <c r="F945" s="207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</row>
    <row r="946" ht="12.75" customHeight="1">
      <c r="A946" s="10"/>
      <c r="B946" s="10"/>
      <c r="C946" s="10"/>
      <c r="D946" s="10"/>
      <c r="E946" s="10"/>
      <c r="F946" s="207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</row>
    <row r="947" ht="12.75" customHeight="1">
      <c r="A947" s="10"/>
      <c r="B947" s="10"/>
      <c r="C947" s="10"/>
      <c r="D947" s="10"/>
      <c r="E947" s="10"/>
      <c r="F947" s="207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</row>
    <row r="948" ht="12.75" customHeight="1">
      <c r="A948" s="10"/>
      <c r="B948" s="10"/>
      <c r="C948" s="10"/>
      <c r="D948" s="10"/>
      <c r="E948" s="10"/>
      <c r="F948" s="207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</row>
    <row r="949" ht="12.75" customHeight="1">
      <c r="A949" s="10"/>
      <c r="B949" s="10"/>
      <c r="C949" s="10"/>
      <c r="D949" s="10"/>
      <c r="E949" s="10"/>
      <c r="F949" s="207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</row>
    <row r="950" ht="12.75" customHeight="1">
      <c r="A950" s="10"/>
      <c r="B950" s="10"/>
      <c r="C950" s="10"/>
      <c r="D950" s="10"/>
      <c r="E950" s="10"/>
      <c r="F950" s="207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</row>
    <row r="951" ht="12.75" customHeight="1">
      <c r="A951" s="10"/>
      <c r="B951" s="10"/>
      <c r="C951" s="10"/>
      <c r="D951" s="10"/>
      <c r="E951" s="10"/>
      <c r="F951" s="207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</row>
    <row r="952" ht="12.75" customHeight="1">
      <c r="A952" s="10"/>
      <c r="B952" s="10"/>
      <c r="C952" s="10"/>
      <c r="D952" s="10"/>
      <c r="E952" s="10"/>
      <c r="F952" s="207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</row>
    <row r="953" ht="12.75" customHeight="1">
      <c r="A953" s="10"/>
      <c r="B953" s="10"/>
      <c r="C953" s="10"/>
      <c r="D953" s="10"/>
      <c r="E953" s="10"/>
      <c r="F953" s="207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</row>
    <row r="954" ht="12.75" customHeight="1">
      <c r="A954" s="10"/>
      <c r="B954" s="10"/>
      <c r="C954" s="10"/>
      <c r="D954" s="10"/>
      <c r="E954" s="10"/>
      <c r="F954" s="207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</row>
    <row r="955" ht="12.75" customHeight="1">
      <c r="A955" s="10"/>
      <c r="B955" s="10"/>
      <c r="C955" s="10"/>
      <c r="D955" s="10"/>
      <c r="E955" s="10"/>
      <c r="F955" s="207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</row>
    <row r="956" ht="12.75" customHeight="1">
      <c r="A956" s="10"/>
      <c r="B956" s="10"/>
      <c r="C956" s="10"/>
      <c r="D956" s="10"/>
      <c r="E956" s="10"/>
      <c r="F956" s="207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</row>
    <row r="957" ht="12.75" customHeight="1">
      <c r="A957" s="10"/>
      <c r="B957" s="10"/>
      <c r="C957" s="10"/>
      <c r="D957" s="10"/>
      <c r="E957" s="10"/>
      <c r="F957" s="207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</row>
    <row r="958" ht="12.75" customHeight="1">
      <c r="A958" s="10"/>
      <c r="B958" s="10"/>
      <c r="C958" s="10"/>
      <c r="D958" s="10"/>
      <c r="E958" s="10"/>
      <c r="F958" s="207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</row>
    <row r="959" ht="12.75" customHeight="1">
      <c r="A959" s="10"/>
      <c r="B959" s="10"/>
      <c r="C959" s="10"/>
      <c r="D959" s="10"/>
      <c r="E959" s="10"/>
      <c r="F959" s="207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</row>
    <row r="960" ht="12.75" customHeight="1">
      <c r="A960" s="10"/>
      <c r="B960" s="10"/>
      <c r="C960" s="10"/>
      <c r="D960" s="10"/>
      <c r="E960" s="10"/>
      <c r="F960" s="207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</row>
    <row r="961" ht="12.75" customHeight="1">
      <c r="A961" s="10"/>
      <c r="B961" s="10"/>
      <c r="C961" s="10"/>
      <c r="D961" s="10"/>
      <c r="E961" s="10"/>
      <c r="F961" s="207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</row>
    <row r="962" ht="12.75" customHeight="1">
      <c r="A962" s="10"/>
      <c r="B962" s="10"/>
      <c r="C962" s="10"/>
      <c r="D962" s="10"/>
      <c r="E962" s="10"/>
      <c r="F962" s="207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</row>
    <row r="963" ht="12.75" customHeight="1">
      <c r="A963" s="10"/>
      <c r="B963" s="10"/>
      <c r="C963" s="10"/>
      <c r="D963" s="10"/>
      <c r="E963" s="10"/>
      <c r="F963" s="207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</row>
    <row r="964" ht="12.75" customHeight="1">
      <c r="A964" s="10"/>
      <c r="B964" s="10"/>
      <c r="C964" s="10"/>
      <c r="D964" s="10"/>
      <c r="E964" s="10"/>
      <c r="F964" s="207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</row>
    <row r="965" ht="12.75" customHeight="1">
      <c r="A965" s="10"/>
      <c r="B965" s="10"/>
      <c r="C965" s="10"/>
      <c r="D965" s="10"/>
      <c r="E965" s="10"/>
      <c r="F965" s="207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</row>
    <row r="966" ht="12.75" customHeight="1">
      <c r="A966" s="10"/>
      <c r="B966" s="10"/>
      <c r="C966" s="10"/>
      <c r="D966" s="10"/>
      <c r="E966" s="10"/>
      <c r="F966" s="207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</row>
    <row r="967" ht="12.75" customHeight="1">
      <c r="A967" s="10"/>
      <c r="B967" s="10"/>
      <c r="C967" s="10"/>
      <c r="D967" s="10"/>
      <c r="E967" s="10"/>
      <c r="F967" s="207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</row>
    <row r="968" ht="12.75" customHeight="1">
      <c r="A968" s="10"/>
      <c r="B968" s="10"/>
      <c r="C968" s="10"/>
      <c r="D968" s="10"/>
      <c r="E968" s="10"/>
      <c r="F968" s="207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</row>
    <row r="969" ht="12.75" customHeight="1">
      <c r="A969" s="10"/>
      <c r="B969" s="10"/>
      <c r="C969" s="10"/>
      <c r="D969" s="10"/>
      <c r="E969" s="10"/>
      <c r="F969" s="207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</row>
    <row r="970" ht="12.75" customHeight="1">
      <c r="A970" s="10"/>
      <c r="B970" s="10"/>
      <c r="C970" s="10"/>
      <c r="D970" s="10"/>
      <c r="E970" s="10"/>
      <c r="F970" s="207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</row>
    <row r="971" ht="12.75" customHeight="1">
      <c r="A971" s="10"/>
      <c r="B971" s="10"/>
      <c r="C971" s="10"/>
      <c r="D971" s="10"/>
      <c r="E971" s="10"/>
      <c r="F971" s="207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</row>
    <row r="972" ht="12.75" customHeight="1">
      <c r="A972" s="10"/>
      <c r="B972" s="10"/>
      <c r="C972" s="10"/>
      <c r="D972" s="10"/>
      <c r="E972" s="10"/>
      <c r="F972" s="207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</row>
    <row r="973" ht="12.75" customHeight="1">
      <c r="A973" s="10"/>
      <c r="B973" s="10"/>
      <c r="C973" s="10"/>
      <c r="D973" s="10"/>
      <c r="E973" s="10"/>
      <c r="F973" s="207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</row>
    <row r="974" ht="12.75" customHeight="1">
      <c r="A974" s="10"/>
      <c r="B974" s="10"/>
      <c r="C974" s="10"/>
      <c r="D974" s="10"/>
      <c r="E974" s="10"/>
      <c r="F974" s="207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</row>
    <row r="975" ht="12.75" customHeight="1">
      <c r="A975" s="10"/>
      <c r="B975" s="10"/>
      <c r="C975" s="10"/>
      <c r="D975" s="10"/>
      <c r="E975" s="10"/>
      <c r="F975" s="207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</row>
    <row r="976" ht="12.75" customHeight="1">
      <c r="A976" s="10"/>
      <c r="B976" s="10"/>
      <c r="C976" s="10"/>
      <c r="D976" s="10"/>
      <c r="E976" s="10"/>
      <c r="F976" s="207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</row>
    <row r="977" ht="12.75" customHeight="1">
      <c r="A977" s="10"/>
      <c r="B977" s="10"/>
      <c r="C977" s="10"/>
      <c r="D977" s="10"/>
      <c r="E977" s="10"/>
      <c r="F977" s="207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</row>
    <row r="978" ht="12.75" customHeight="1">
      <c r="A978" s="10"/>
      <c r="B978" s="10"/>
      <c r="C978" s="10"/>
      <c r="D978" s="10"/>
      <c r="E978" s="10"/>
      <c r="F978" s="207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</row>
    <row r="979" ht="12.75" customHeight="1">
      <c r="A979" s="10"/>
      <c r="B979" s="10"/>
      <c r="C979" s="10"/>
      <c r="D979" s="10"/>
      <c r="E979" s="10"/>
      <c r="F979" s="207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</row>
    <row r="980" ht="12.75" customHeight="1">
      <c r="A980" s="10"/>
      <c r="B980" s="10"/>
      <c r="C980" s="10"/>
      <c r="D980" s="10"/>
      <c r="E980" s="10"/>
      <c r="F980" s="207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</row>
    <row r="981" ht="12.75" customHeight="1">
      <c r="A981" s="10"/>
      <c r="B981" s="10"/>
      <c r="C981" s="10"/>
      <c r="D981" s="10"/>
      <c r="E981" s="10"/>
      <c r="F981" s="207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</row>
    <row r="982" ht="12.75" customHeight="1">
      <c r="A982" s="10"/>
      <c r="B982" s="10"/>
      <c r="C982" s="10"/>
      <c r="D982" s="10"/>
      <c r="E982" s="10"/>
      <c r="F982" s="207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</row>
    <row r="983" ht="12.75" customHeight="1">
      <c r="A983" s="10"/>
      <c r="B983" s="10"/>
      <c r="C983" s="10"/>
      <c r="D983" s="10"/>
      <c r="E983" s="10"/>
      <c r="F983" s="207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</row>
    <row r="984" ht="12.75" customHeight="1">
      <c r="A984" s="10"/>
      <c r="B984" s="10"/>
      <c r="C984" s="10"/>
      <c r="D984" s="10"/>
      <c r="E984" s="10"/>
      <c r="F984" s="207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</row>
    <row r="985" ht="12.75" customHeight="1">
      <c r="A985" s="10"/>
      <c r="B985" s="10"/>
      <c r="C985" s="10"/>
      <c r="D985" s="10"/>
      <c r="E985" s="10"/>
      <c r="F985" s="207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</row>
    <row r="986" ht="12.75" customHeight="1">
      <c r="A986" s="10"/>
      <c r="B986" s="10"/>
      <c r="C986" s="10"/>
      <c r="D986" s="10"/>
      <c r="E986" s="10"/>
      <c r="F986" s="207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</row>
    <row r="987" ht="12.75" customHeight="1">
      <c r="A987" s="10"/>
      <c r="B987" s="10"/>
      <c r="C987" s="10"/>
      <c r="D987" s="10"/>
      <c r="E987" s="10"/>
      <c r="F987" s="207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</row>
    <row r="988" ht="12.75" customHeight="1">
      <c r="A988" s="10"/>
      <c r="B988" s="10"/>
      <c r="C988" s="10"/>
      <c r="D988" s="10"/>
      <c r="E988" s="10"/>
      <c r="F988" s="207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</row>
    <row r="989" ht="12.75" customHeight="1">
      <c r="A989" s="10"/>
      <c r="B989" s="10"/>
      <c r="C989" s="10"/>
      <c r="D989" s="10"/>
      <c r="E989" s="10"/>
      <c r="F989" s="207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</row>
    <row r="990" ht="12.75" customHeight="1">
      <c r="A990" s="10"/>
      <c r="B990" s="10"/>
      <c r="C990" s="10"/>
      <c r="D990" s="10"/>
      <c r="E990" s="10"/>
      <c r="F990" s="207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</row>
    <row r="991" ht="12.75" customHeight="1">
      <c r="A991" s="10"/>
      <c r="B991" s="10"/>
      <c r="C991" s="10"/>
      <c r="D991" s="10"/>
      <c r="E991" s="10"/>
      <c r="F991" s="207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</row>
    <row r="992" ht="12.75" customHeight="1">
      <c r="A992" s="10"/>
      <c r="B992" s="10"/>
      <c r="C992" s="10"/>
      <c r="D992" s="10"/>
      <c r="E992" s="10"/>
      <c r="F992" s="207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</row>
    <row r="993" ht="12.75" customHeight="1">
      <c r="A993" s="10"/>
      <c r="B993" s="10"/>
      <c r="C993" s="10"/>
      <c r="D993" s="10"/>
      <c r="E993" s="10"/>
      <c r="F993" s="207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</row>
    <row r="994" ht="12.75" customHeight="1">
      <c r="A994" s="10"/>
      <c r="B994" s="10"/>
      <c r="C994" s="10"/>
      <c r="D994" s="10"/>
      <c r="E994" s="10"/>
      <c r="F994" s="207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</row>
    <row r="995" ht="12.75" customHeight="1">
      <c r="A995" s="10"/>
      <c r="B995" s="10"/>
      <c r="C995" s="10"/>
      <c r="D995" s="10"/>
      <c r="E995" s="10"/>
      <c r="F995" s="207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</row>
    <row r="996" ht="12.75" customHeight="1">
      <c r="A996" s="10"/>
      <c r="B996" s="10"/>
      <c r="C996" s="10"/>
      <c r="D996" s="10"/>
      <c r="E996" s="10"/>
      <c r="F996" s="207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</row>
    <row r="997" ht="12.75" customHeight="1">
      <c r="A997" s="10"/>
      <c r="B997" s="10"/>
      <c r="C997" s="10"/>
      <c r="D997" s="10"/>
      <c r="E997" s="10"/>
      <c r="F997" s="207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</row>
    <row r="998" ht="12.75" customHeight="1">
      <c r="A998" s="10"/>
      <c r="B998" s="10"/>
      <c r="C998" s="10"/>
      <c r="D998" s="10"/>
      <c r="E998" s="10"/>
      <c r="F998" s="207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</row>
    <row r="999" ht="12.75" customHeight="1">
      <c r="A999" s="10"/>
      <c r="B999" s="10"/>
      <c r="C999" s="10"/>
      <c r="D999" s="10"/>
      <c r="E999" s="10"/>
      <c r="F999" s="207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</row>
    <row r="1000" ht="12.75" customHeight="1">
      <c r="A1000" s="10"/>
      <c r="B1000" s="10"/>
      <c r="C1000" s="10"/>
      <c r="D1000" s="10"/>
      <c r="E1000" s="10"/>
      <c r="F1000" s="207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</row>
  </sheetData>
  <mergeCells count="53">
    <mergeCell ref="F1:AG2"/>
    <mergeCell ref="A3:AH3"/>
    <mergeCell ref="E4:AG4"/>
    <mergeCell ref="G5:K5"/>
    <mergeCell ref="AC5:AF5"/>
    <mergeCell ref="F6:X6"/>
    <mergeCell ref="L7:X7"/>
    <mergeCell ref="L8:N8"/>
    <mergeCell ref="L10:N10"/>
    <mergeCell ref="F7:H7"/>
    <mergeCell ref="F8:G8"/>
    <mergeCell ref="R8:T8"/>
    <mergeCell ref="A10:A11"/>
    <mergeCell ref="D10:D11"/>
    <mergeCell ref="E10:E11"/>
    <mergeCell ref="H10:H11"/>
    <mergeCell ref="T10:U10"/>
    <mergeCell ref="F10:F11"/>
    <mergeCell ref="G10:G11"/>
    <mergeCell ref="Y10:AG11"/>
    <mergeCell ref="Y13:AG13"/>
    <mergeCell ref="Y14:AG14"/>
    <mergeCell ref="Y15:AG15"/>
    <mergeCell ref="Y16:AG16"/>
    <mergeCell ref="Y17:AG17"/>
    <mergeCell ref="Y18:AG18"/>
    <mergeCell ref="Y19:AG19"/>
    <mergeCell ref="Y20:AG20"/>
    <mergeCell ref="Y21:AG21"/>
    <mergeCell ref="Y22:AG22"/>
    <mergeCell ref="Y23:AG23"/>
    <mergeCell ref="Y24:AG24"/>
    <mergeCell ref="Y25:AG25"/>
    <mergeCell ref="Y26:AG26"/>
    <mergeCell ref="Y27:AG27"/>
    <mergeCell ref="Y28:AG28"/>
    <mergeCell ref="Y29:AG29"/>
    <mergeCell ref="Y30:AG30"/>
    <mergeCell ref="Y38:AG38"/>
    <mergeCell ref="Y39:AG39"/>
    <mergeCell ref="Y40:AG40"/>
    <mergeCell ref="Y41:AG41"/>
    <mergeCell ref="Y42:AG42"/>
    <mergeCell ref="Y46:AG46"/>
    <mergeCell ref="Y47:AG47"/>
    <mergeCell ref="O54:Z54"/>
    <mergeCell ref="Y31:AG31"/>
    <mergeCell ref="Y32:AG32"/>
    <mergeCell ref="Y33:AG33"/>
    <mergeCell ref="Y34:AG34"/>
    <mergeCell ref="Y35:AG35"/>
    <mergeCell ref="Y36:AG36"/>
    <mergeCell ref="Y37:AG37"/>
  </mergeCells>
  <dataValidations>
    <dataValidation type="list" allowBlank="1" showErrorMessage="1" sqref="G5">
      <formula1>MESES</formula1>
    </dataValidation>
    <dataValidation type="list" allowBlank="1" showErrorMessage="1" sqref="AC5">
      <formula1>ASISTENCIA!$BG$2:$BG$4</formula1>
    </dataValidation>
    <dataValidation type="list" allowBlank="1" showErrorMessage="1" sqref="F6">
      <formula1>DATA!$A:$A</formula1>
    </dataValidation>
    <dataValidation type="list" allowBlank="1" showErrorMessage="1" sqref="C12:D12 C13:C47 C48:D48">
      <formula1>$B$214:$B$225</formula1>
    </dataValidation>
  </dataValidations>
  <printOptions/>
  <pageMargins bottom="0.15748031496062992" footer="0.0" header="0.0" left="0.2362204724409449" right="0.16" top="0.31496062992125984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3.0"/>
    <col customWidth="1" hidden="1" min="2" max="2" width="7.71"/>
    <col customWidth="1" hidden="1" min="3" max="3" width="4.71"/>
    <col customWidth="1" hidden="1" min="4" max="4" width="37.29"/>
    <col customWidth="1" hidden="1" min="5" max="5" width="10.57"/>
    <col customWidth="1" hidden="1" min="6" max="10" width="2.71"/>
    <col customWidth="1" hidden="1" min="11" max="11" width="5.43"/>
    <col customWidth="1" hidden="1" min="12" max="12" width="4.71"/>
    <col customWidth="1" hidden="1" min="13" max="13" width="4.29"/>
    <col customWidth="1" hidden="1" min="14" max="14" width="7.57"/>
    <col customWidth="1" hidden="1" min="15" max="45" width="3.29"/>
    <col customWidth="1" hidden="1" min="46" max="46" width="9.57"/>
    <col customWidth="1" hidden="1" min="47" max="47" width="1.71"/>
    <col customWidth="1" hidden="1" min="48" max="49" width="10.71"/>
    <col customWidth="1" hidden="1" min="50" max="80" width="3.29"/>
    <col customWidth="1" hidden="1" min="81" max="81" width="9.57"/>
    <col customWidth="1" hidden="1" min="82" max="82" width="10.71"/>
  </cols>
  <sheetData>
    <row r="1" ht="17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1"/>
      <c r="AV1" s="1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1"/>
    </row>
    <row r="2" ht="17.25" customHeight="1">
      <c r="A2" s="2"/>
      <c r="B2" s="2"/>
      <c r="C2" s="2"/>
      <c r="D2" s="2"/>
      <c r="E2" s="2" t="s">
        <v>36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1"/>
      <c r="AV2" s="1"/>
      <c r="AW2" s="1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1"/>
    </row>
    <row r="3" ht="17.25" customHeight="1">
      <c r="A3" s="11"/>
      <c r="B3" s="2"/>
      <c r="C3" s="2"/>
      <c r="D3" s="2"/>
      <c r="E3" s="2"/>
      <c r="F3" s="2"/>
      <c r="G3" s="2"/>
      <c r="H3" s="2" t="s">
        <v>56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"/>
      <c r="AV3" s="1"/>
      <c r="AW3" s="1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1"/>
    </row>
    <row r="4" ht="17.25" customHeight="1">
      <c r="A4" s="11"/>
      <c r="B4" s="2"/>
      <c r="C4" s="2"/>
      <c r="D4" s="2"/>
      <c r="E4" s="2" t="str">
        <f>ASISTENCIA!#REF!</f>
        <v>#ERROR!</v>
      </c>
      <c r="F4" s="2"/>
      <c r="G4" s="2"/>
      <c r="H4" s="2"/>
      <c r="I4" s="2"/>
      <c r="J4" s="2"/>
      <c r="K4" s="2"/>
      <c r="L4" s="2"/>
      <c r="M4" s="2"/>
      <c r="N4" s="2"/>
      <c r="O4" s="18" t="str">
        <f>ASISTENCIA!$F$6</f>
        <v>Nombre de IE</v>
      </c>
      <c r="P4" s="2"/>
      <c r="Q4" s="2"/>
      <c r="R4" s="2"/>
      <c r="S4" s="1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2"/>
      <c r="AO4" s="2"/>
      <c r="AP4" s="2"/>
      <c r="AQ4" s="2"/>
      <c r="AR4" s="2"/>
      <c r="AS4" s="2"/>
      <c r="AT4" s="2"/>
      <c r="AU4" s="1"/>
      <c r="AV4" s="1"/>
      <c r="AW4" s="1"/>
      <c r="AX4" s="18" t="str">
        <f>ASISTENCIA!$F$6</f>
        <v>Nombre de IE</v>
      </c>
      <c r="AY4" s="2"/>
      <c r="AZ4" s="2"/>
      <c r="BA4" s="2"/>
      <c r="BB4" s="1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2"/>
      <c r="BX4" s="2"/>
      <c r="BY4" s="2"/>
      <c r="BZ4" s="2"/>
      <c r="CA4" s="2"/>
      <c r="CB4" s="2"/>
      <c r="CC4" s="2"/>
      <c r="CD4" s="1"/>
    </row>
    <row r="5" ht="7.5" customHeight="1">
      <c r="A5" s="27"/>
      <c r="B5" s="27"/>
      <c r="C5" s="27"/>
      <c r="D5" s="22"/>
      <c r="E5" s="28"/>
      <c r="F5" s="28"/>
      <c r="G5" s="28"/>
      <c r="H5" s="28"/>
      <c r="I5" s="28"/>
      <c r="J5" s="28"/>
      <c r="K5" s="30"/>
      <c r="L5" s="30"/>
      <c r="M5" s="30"/>
      <c r="N5" s="30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1"/>
      <c r="AV5" s="1"/>
      <c r="AW5" s="1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1"/>
    </row>
    <row r="6" ht="15.0" customHeight="1">
      <c r="A6" s="22" t="s">
        <v>154</v>
      </c>
      <c r="B6" s="22"/>
      <c r="C6" s="22"/>
      <c r="D6" s="39" t="str">
        <f>CONCATENATE(VLOOKUP($O$4,DATA!$A$1:$S$1,6,FALSE))</f>
        <v>Dirección de IE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28" t="s">
        <v>174</v>
      </c>
      <c r="Q6" s="28"/>
      <c r="R6" s="28"/>
      <c r="S6" s="28"/>
      <c r="T6" s="1"/>
      <c r="U6" s="1"/>
      <c r="V6" s="1"/>
      <c r="W6" s="1"/>
      <c r="X6" s="39" t="str">
        <f>VLOOKUP($O$4,DATA!$A$1:$S$1,9,FALSE)</f>
        <v>Área Censal (500 Habitantes)</v>
      </c>
      <c r="Y6" s="39"/>
      <c r="Z6" s="39"/>
      <c r="AA6" s="39"/>
      <c r="AB6" s="39"/>
      <c r="AC6" s="22"/>
      <c r="AD6" s="39"/>
      <c r="AE6" s="39"/>
      <c r="AF6" s="39"/>
      <c r="AG6" s="39"/>
      <c r="AH6" s="39"/>
      <c r="AI6" s="39"/>
      <c r="AJ6" s="39"/>
      <c r="AK6" s="39"/>
      <c r="AL6" s="1"/>
      <c r="AM6" s="1"/>
      <c r="AN6" s="1"/>
      <c r="AO6" s="1"/>
      <c r="AP6" s="22"/>
      <c r="AQ6" s="22"/>
      <c r="AR6" s="1"/>
      <c r="AS6" s="22"/>
      <c r="AT6" s="22"/>
      <c r="AU6" s="1"/>
      <c r="AV6" s="1"/>
      <c r="AW6" s="1"/>
      <c r="AX6" s="41"/>
      <c r="AY6" s="28" t="s">
        <v>174</v>
      </c>
      <c r="AZ6" s="28"/>
      <c r="BA6" s="28"/>
      <c r="BB6" s="28"/>
      <c r="BC6" s="1"/>
      <c r="BD6" s="1"/>
      <c r="BE6" s="1"/>
      <c r="BF6" s="1"/>
      <c r="BG6" s="39" t="str">
        <f>VLOOKUP($O$4,DATA!$A$1:$S$1,9,FALSE)</f>
        <v>Área Censal (500 Habitantes)</v>
      </c>
      <c r="BH6" s="39"/>
      <c r="BI6" s="39"/>
      <c r="BJ6" s="39"/>
      <c r="BK6" s="39"/>
      <c r="BL6" s="22"/>
      <c r="BM6" s="39"/>
      <c r="BN6" s="39"/>
      <c r="BO6" s="39"/>
      <c r="BP6" s="39"/>
      <c r="BQ6" s="39"/>
      <c r="BR6" s="39"/>
      <c r="BS6" s="39"/>
      <c r="BT6" s="39"/>
      <c r="BU6" s="1"/>
      <c r="BV6" s="1"/>
      <c r="BW6" s="1"/>
      <c r="BX6" s="1"/>
      <c r="BY6" s="22"/>
      <c r="BZ6" s="22"/>
      <c r="CA6" s="1"/>
      <c r="CB6" s="22"/>
      <c r="CC6" s="22"/>
      <c r="CD6" s="1"/>
    </row>
    <row r="7" ht="7.5" customHeight="1">
      <c r="A7" s="50"/>
      <c r="B7" s="50"/>
      <c r="C7" s="50"/>
      <c r="D7" s="1"/>
      <c r="E7" s="28"/>
      <c r="F7" s="28"/>
      <c r="G7" s="28"/>
      <c r="H7" s="28"/>
      <c r="I7" s="28"/>
      <c r="J7" s="28"/>
      <c r="K7" s="52"/>
      <c r="L7" s="52"/>
      <c r="M7" s="52"/>
      <c r="N7" s="52"/>
      <c r="O7" s="52"/>
      <c r="P7" s="52"/>
      <c r="Q7" s="52"/>
      <c r="R7" s="52"/>
      <c r="S7" s="30"/>
      <c r="T7" s="30"/>
      <c r="U7" s="47"/>
      <c r="V7" s="47"/>
      <c r="W7" s="47"/>
      <c r="X7" s="47"/>
      <c r="Y7" s="47"/>
      <c r="Z7" s="47"/>
      <c r="AA7" s="47"/>
      <c r="AB7" s="47"/>
      <c r="AC7" s="47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22"/>
      <c r="AP7" s="22"/>
      <c r="AQ7" s="22"/>
      <c r="AR7" s="22"/>
      <c r="AS7" s="22"/>
      <c r="AT7" s="22"/>
      <c r="AU7" s="1"/>
      <c r="AV7" s="1"/>
      <c r="AW7" s="1"/>
      <c r="AX7" s="52"/>
      <c r="AY7" s="52"/>
      <c r="AZ7" s="52"/>
      <c r="BA7" s="52"/>
      <c r="BB7" s="30"/>
      <c r="BC7" s="30"/>
      <c r="BD7" s="47"/>
      <c r="BE7" s="47"/>
      <c r="BF7" s="47"/>
      <c r="BG7" s="47"/>
      <c r="BH7" s="47"/>
      <c r="BI7" s="47"/>
      <c r="BJ7" s="47"/>
      <c r="BK7" s="47"/>
      <c r="BL7" s="47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22"/>
      <c r="BY7" s="22"/>
      <c r="BZ7" s="22"/>
      <c r="CA7" s="22"/>
      <c r="CB7" s="22"/>
      <c r="CC7" s="22"/>
      <c r="CD7" s="1"/>
    </row>
    <row r="8" ht="15.0" customHeight="1">
      <c r="A8" s="22"/>
      <c r="B8" s="22"/>
      <c r="C8" s="22"/>
      <c r="D8" s="57" t="s">
        <v>240</v>
      </c>
      <c r="E8" s="39" t="str">
        <f>VLOOKUP($O$4,DATA!$A$1:$S$1,4,FALSE)</f>
        <v>Nivel / Modalidad</v>
      </c>
      <c r="F8" s="39"/>
      <c r="G8" s="39"/>
      <c r="H8" s="39"/>
      <c r="I8" s="39"/>
      <c r="J8" s="39"/>
      <c r="K8" s="52" t="s">
        <v>251</v>
      </c>
      <c r="L8" s="52"/>
      <c r="M8" s="52"/>
      <c r="N8" s="32" t="str">
        <f>ASISTENCIA!$F$8</f>
        <v>Código modular</v>
      </c>
      <c r="O8" s="52"/>
      <c r="P8" s="1"/>
      <c r="Q8" s="38"/>
      <c r="R8" s="1"/>
      <c r="S8" s="1"/>
      <c r="T8" s="1"/>
      <c r="U8" s="1"/>
      <c r="V8" s="1"/>
      <c r="W8" s="1"/>
      <c r="X8" s="1"/>
      <c r="Y8" s="30" t="s">
        <v>146</v>
      </c>
      <c r="Z8" s="30"/>
      <c r="AA8" s="60">
        <f>ASISTENCIA!S5</f>
        <v>2021</v>
      </c>
      <c r="AC8" s="48"/>
      <c r="AD8" s="30"/>
      <c r="AE8" s="30"/>
      <c r="AF8" s="30"/>
      <c r="AG8" s="30" t="s">
        <v>269</v>
      </c>
      <c r="AH8" s="30"/>
      <c r="AI8" s="30"/>
      <c r="AJ8" s="48" t="str">
        <f>ASISTENCIA!G5</f>
        <v>MARZO</v>
      </c>
      <c r="AK8" s="48"/>
      <c r="AL8" s="48"/>
      <c r="AM8" s="48"/>
      <c r="AN8" s="48"/>
      <c r="AO8" s="48"/>
      <c r="AP8" s="62"/>
      <c r="AQ8" s="62"/>
      <c r="AR8" s="22"/>
      <c r="AS8" s="62"/>
      <c r="AT8" s="22"/>
      <c r="AU8" s="1"/>
      <c r="AV8" s="1"/>
      <c r="AW8" s="1"/>
      <c r="AX8" s="52"/>
      <c r="AY8" s="1"/>
      <c r="AZ8" s="38"/>
      <c r="BA8" s="1"/>
      <c r="BB8" s="1"/>
      <c r="BC8" s="1"/>
      <c r="BD8" s="1"/>
      <c r="BE8" s="1"/>
      <c r="BF8" s="1"/>
      <c r="BG8" s="1"/>
      <c r="BH8" s="30" t="s">
        <v>146</v>
      </c>
      <c r="BI8" s="30"/>
      <c r="BJ8" s="60">
        <f>ASISTENCIA!S5</f>
        <v>2021</v>
      </c>
      <c r="BL8" s="48"/>
      <c r="BM8" s="30"/>
      <c r="BN8" s="30"/>
      <c r="BO8" s="30"/>
      <c r="BP8" s="30" t="s">
        <v>269</v>
      </c>
      <c r="BQ8" s="30"/>
      <c r="BR8" s="30"/>
      <c r="BS8" s="48" t="str">
        <f>AJ8</f>
        <v>MARZO</v>
      </c>
      <c r="BT8" s="48"/>
      <c r="BU8" s="48"/>
      <c r="BV8" s="48"/>
      <c r="BW8" s="48"/>
      <c r="BX8" s="48"/>
      <c r="BY8" s="62"/>
      <c r="BZ8" s="62"/>
      <c r="CA8" s="22"/>
      <c r="CB8" s="62"/>
      <c r="CC8" s="22"/>
      <c r="CD8" s="1"/>
    </row>
    <row r="9" ht="10.5" customHeight="1">
      <c r="A9" s="72"/>
      <c r="B9" s="72"/>
      <c r="C9" s="72"/>
      <c r="D9" s="74"/>
      <c r="E9" s="75"/>
      <c r="F9" s="75"/>
      <c r="G9" s="75"/>
      <c r="H9" s="75"/>
      <c r="I9" s="75"/>
      <c r="J9" s="75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10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10"/>
      <c r="AV9" s="10"/>
      <c r="AW9" s="10"/>
      <c r="AX9" s="74"/>
      <c r="AY9" s="74"/>
      <c r="AZ9" s="74"/>
      <c r="BA9" s="74"/>
      <c r="BB9" s="74"/>
      <c r="BC9" s="74"/>
      <c r="BD9" s="74"/>
      <c r="BE9" s="74"/>
      <c r="BF9" s="10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10"/>
    </row>
    <row r="10" ht="16.5" customHeight="1">
      <c r="A10" s="84"/>
      <c r="B10" s="86" t="s">
        <v>348</v>
      </c>
      <c r="C10" s="87"/>
      <c r="D10" s="88"/>
      <c r="E10" s="89"/>
      <c r="F10" s="90" t="s">
        <v>356</v>
      </c>
      <c r="G10" s="91"/>
      <c r="H10" s="91"/>
      <c r="I10" s="91"/>
      <c r="J10" s="92"/>
      <c r="K10" s="93" t="s">
        <v>365</v>
      </c>
      <c r="L10" s="96" t="s">
        <v>367</v>
      </c>
      <c r="M10" s="100" t="s">
        <v>378</v>
      </c>
      <c r="N10" s="96" t="s">
        <v>384</v>
      </c>
      <c r="O10" s="106"/>
      <c r="P10" s="106"/>
      <c r="Q10" s="106"/>
      <c r="R10" s="106"/>
      <c r="S10" s="106" t="s">
        <v>388</v>
      </c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10"/>
      <c r="AT10" s="112" t="s">
        <v>397</v>
      </c>
      <c r="AU10" s="114"/>
      <c r="AV10" s="114"/>
      <c r="AW10" s="114"/>
      <c r="AX10" s="106"/>
      <c r="AY10" s="106"/>
      <c r="AZ10" s="106"/>
      <c r="BA10" s="106"/>
      <c r="BB10" s="106" t="s">
        <v>388</v>
      </c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10"/>
      <c r="CC10" s="112" t="s">
        <v>397</v>
      </c>
      <c r="CD10" s="114"/>
    </row>
    <row r="11" ht="16.5" customHeight="1">
      <c r="A11" s="116" t="s">
        <v>302</v>
      </c>
      <c r="B11" s="117" t="s">
        <v>410</v>
      </c>
      <c r="C11" s="120" t="s">
        <v>342</v>
      </c>
      <c r="D11" s="117" t="s">
        <v>415</v>
      </c>
      <c r="E11" s="121" t="s">
        <v>310</v>
      </c>
      <c r="F11" s="123" t="s">
        <v>422</v>
      </c>
      <c r="G11" s="125"/>
      <c r="H11" s="125"/>
      <c r="I11" s="125"/>
      <c r="J11" s="126"/>
      <c r="K11" s="127" t="s">
        <v>429</v>
      </c>
      <c r="L11" s="129"/>
      <c r="M11" s="129"/>
      <c r="N11" s="129"/>
      <c r="O11" s="131"/>
      <c r="P11" s="131"/>
      <c r="Q11" s="131"/>
      <c r="R11" s="131"/>
      <c r="S11" s="131"/>
      <c r="T11" s="131" t="s">
        <v>435</v>
      </c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3" t="s">
        <v>441</v>
      </c>
      <c r="AU11" s="114"/>
      <c r="AV11" s="114"/>
      <c r="AW11" s="114"/>
      <c r="AX11" s="131"/>
      <c r="AY11" s="131"/>
      <c r="AZ11" s="131"/>
      <c r="BA11" s="131"/>
      <c r="BB11" s="131"/>
      <c r="BC11" s="131" t="s">
        <v>435</v>
      </c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3" t="s">
        <v>441</v>
      </c>
      <c r="CD11" s="114"/>
    </row>
    <row r="12" ht="16.5" customHeight="1">
      <c r="A12" s="116"/>
      <c r="B12" s="117"/>
      <c r="C12" s="135"/>
      <c r="D12" s="138"/>
      <c r="E12" s="121"/>
      <c r="F12" s="140"/>
      <c r="G12" s="140"/>
      <c r="H12" s="140"/>
      <c r="I12" s="140"/>
      <c r="J12" s="140"/>
      <c r="K12" s="127" t="s">
        <v>460</v>
      </c>
      <c r="L12" s="129"/>
      <c r="M12" s="129"/>
      <c r="N12" s="129"/>
      <c r="O12" s="141">
        <v>1.0</v>
      </c>
      <c r="P12" s="142">
        <v>2.0</v>
      </c>
      <c r="Q12" s="142">
        <v>3.0</v>
      </c>
      <c r="R12" s="142">
        <v>4.0</v>
      </c>
      <c r="S12" s="142">
        <v>5.0</v>
      </c>
      <c r="T12" s="142">
        <v>6.0</v>
      </c>
      <c r="U12" s="142">
        <v>7.0</v>
      </c>
      <c r="V12" s="142">
        <v>8.0</v>
      </c>
      <c r="W12" s="142">
        <v>9.0</v>
      </c>
      <c r="X12" s="142">
        <v>10.0</v>
      </c>
      <c r="Y12" s="142">
        <v>11.0</v>
      </c>
      <c r="Z12" s="142">
        <v>12.0</v>
      </c>
      <c r="AA12" s="142">
        <v>13.0</v>
      </c>
      <c r="AB12" s="142">
        <v>14.0</v>
      </c>
      <c r="AC12" s="142">
        <v>15.0</v>
      </c>
      <c r="AD12" s="142">
        <v>16.0</v>
      </c>
      <c r="AE12" s="142">
        <v>17.0</v>
      </c>
      <c r="AF12" s="142">
        <v>18.0</v>
      </c>
      <c r="AG12" s="142">
        <v>19.0</v>
      </c>
      <c r="AH12" s="142">
        <v>20.0</v>
      </c>
      <c r="AI12" s="142">
        <v>21.0</v>
      </c>
      <c r="AJ12" s="142">
        <v>22.0</v>
      </c>
      <c r="AK12" s="142">
        <v>23.0</v>
      </c>
      <c r="AL12" s="142">
        <v>24.0</v>
      </c>
      <c r="AM12" s="142">
        <v>25.0</v>
      </c>
      <c r="AN12" s="142">
        <v>26.0</v>
      </c>
      <c r="AO12" s="142">
        <v>27.0</v>
      </c>
      <c r="AP12" s="142">
        <v>28.0</v>
      </c>
      <c r="AQ12" s="142">
        <v>29.0</v>
      </c>
      <c r="AR12" s="142">
        <v>30.0</v>
      </c>
      <c r="AS12" s="145">
        <v>31.0</v>
      </c>
      <c r="AT12" s="133" t="s">
        <v>473</v>
      </c>
      <c r="AU12" s="114"/>
      <c r="AV12" s="114"/>
      <c r="AW12" s="114"/>
      <c r="AX12" s="141">
        <v>1.0</v>
      </c>
      <c r="AY12" s="142">
        <v>2.0</v>
      </c>
      <c r="AZ12" s="142">
        <v>3.0</v>
      </c>
      <c r="BA12" s="142">
        <v>4.0</v>
      </c>
      <c r="BB12" s="142">
        <v>5.0</v>
      </c>
      <c r="BC12" s="142">
        <v>6.0</v>
      </c>
      <c r="BD12" s="142">
        <v>7.0</v>
      </c>
      <c r="BE12" s="142">
        <v>8.0</v>
      </c>
      <c r="BF12" s="142">
        <v>9.0</v>
      </c>
      <c r="BG12" s="142">
        <v>10.0</v>
      </c>
      <c r="BH12" s="142">
        <v>11.0</v>
      </c>
      <c r="BI12" s="142">
        <v>12.0</v>
      </c>
      <c r="BJ12" s="142">
        <v>13.0</v>
      </c>
      <c r="BK12" s="142">
        <v>14.0</v>
      </c>
      <c r="BL12" s="142">
        <v>15.0</v>
      </c>
      <c r="BM12" s="142">
        <v>16.0</v>
      </c>
      <c r="BN12" s="142">
        <v>17.0</v>
      </c>
      <c r="BO12" s="142">
        <v>18.0</v>
      </c>
      <c r="BP12" s="142">
        <v>19.0</v>
      </c>
      <c r="BQ12" s="142">
        <v>20.0</v>
      </c>
      <c r="BR12" s="142">
        <v>21.0</v>
      </c>
      <c r="BS12" s="142">
        <v>22.0</v>
      </c>
      <c r="BT12" s="142">
        <v>23.0</v>
      </c>
      <c r="BU12" s="142">
        <v>24.0</v>
      </c>
      <c r="BV12" s="142">
        <v>25.0</v>
      </c>
      <c r="BW12" s="142">
        <v>26.0</v>
      </c>
      <c r="BX12" s="142">
        <v>27.0</v>
      </c>
      <c r="BY12" s="142">
        <v>28.0</v>
      </c>
      <c r="BZ12" s="142">
        <v>29.0</v>
      </c>
      <c r="CA12" s="142">
        <v>30.0</v>
      </c>
      <c r="CB12" s="145">
        <v>31.0</v>
      </c>
      <c r="CC12" s="133" t="s">
        <v>473</v>
      </c>
      <c r="CD12" s="114"/>
    </row>
    <row r="13" ht="16.5" customHeight="1">
      <c r="A13" s="146"/>
      <c r="B13" s="147"/>
      <c r="C13" s="148"/>
      <c r="D13" s="149"/>
      <c r="E13" s="150"/>
      <c r="F13" s="151" t="s">
        <v>487</v>
      </c>
      <c r="G13" s="151" t="s">
        <v>491</v>
      </c>
      <c r="H13" s="151" t="s">
        <v>492</v>
      </c>
      <c r="I13" s="151" t="s">
        <v>494</v>
      </c>
      <c r="J13" s="151" t="s">
        <v>495</v>
      </c>
      <c r="K13" s="152" t="s">
        <v>496</v>
      </c>
      <c r="L13" s="153"/>
      <c r="M13" s="153"/>
      <c r="N13" s="153"/>
      <c r="O13" s="154" t="str">
        <f>ASISTENCIA!I$12</f>
        <v>lun</v>
      </c>
      <c r="P13" s="155" t="str">
        <f>ASISTENCIA!J$12</f>
        <v>mar</v>
      </c>
      <c r="Q13" s="155" t="str">
        <f>ASISTENCIA!K$12</f>
        <v>mié</v>
      </c>
      <c r="R13" s="155" t="str">
        <f>ASISTENCIA!L$12</f>
        <v>jue</v>
      </c>
      <c r="S13" s="155" t="str">
        <f>ASISTENCIA!M$12</f>
        <v>vie</v>
      </c>
      <c r="T13" s="155" t="str">
        <f>ASISTENCIA!N$12</f>
        <v>sáb</v>
      </c>
      <c r="U13" s="155" t="str">
        <f>ASISTENCIA!O$12</f>
        <v>dom</v>
      </c>
      <c r="V13" s="155" t="str">
        <f>ASISTENCIA!P$12</f>
        <v>lun</v>
      </c>
      <c r="W13" s="155" t="str">
        <f>ASISTENCIA!Q$12</f>
        <v>mar</v>
      </c>
      <c r="X13" s="155" t="str">
        <f>ASISTENCIA!R$12</f>
        <v>mié</v>
      </c>
      <c r="Y13" s="155" t="str">
        <f>ASISTENCIA!S$12</f>
        <v>jue</v>
      </c>
      <c r="Z13" s="155" t="str">
        <f>ASISTENCIA!T$12</f>
        <v>vie</v>
      </c>
      <c r="AA13" s="155" t="str">
        <f>ASISTENCIA!U$12</f>
        <v>sáb</v>
      </c>
      <c r="AB13" s="155" t="str">
        <f>ASISTENCIA!V$12</f>
        <v>dom</v>
      </c>
      <c r="AC13" s="155" t="str">
        <f>ASISTENCIA!W$12</f>
        <v>lun</v>
      </c>
      <c r="AD13" s="155" t="str">
        <f>ASISTENCIA!X$12</f>
        <v>mar</v>
      </c>
      <c r="AE13" s="155" t="str">
        <f>ASISTENCIA!Y$12</f>
        <v>mié</v>
      </c>
      <c r="AF13" s="155" t="str">
        <f>ASISTENCIA!Z$12</f>
        <v>jue</v>
      </c>
      <c r="AG13" s="155" t="str">
        <f>ASISTENCIA!AA$12</f>
        <v>vie</v>
      </c>
      <c r="AH13" s="155" t="str">
        <f>ASISTENCIA!AB$12</f>
        <v>sáb</v>
      </c>
      <c r="AI13" s="155" t="str">
        <f>ASISTENCIA!AC$12</f>
        <v>dom</v>
      </c>
      <c r="AJ13" s="155" t="str">
        <f>ASISTENCIA!AD$12</f>
        <v>lun</v>
      </c>
      <c r="AK13" s="155" t="str">
        <f>ASISTENCIA!AE$12</f>
        <v>mar</v>
      </c>
      <c r="AL13" s="155" t="str">
        <f>ASISTENCIA!AF$12</f>
        <v>mié</v>
      </c>
      <c r="AM13" s="155" t="str">
        <f>ASISTENCIA!AG$12</f>
        <v>jue</v>
      </c>
      <c r="AN13" s="155" t="str">
        <f>ASISTENCIA!AH$12</f>
        <v>vie</v>
      </c>
      <c r="AO13" s="155" t="str">
        <f>ASISTENCIA!AI$12</f>
        <v>sáb</v>
      </c>
      <c r="AP13" s="155" t="str">
        <f>ASISTENCIA!AJ$12</f>
        <v>dom</v>
      </c>
      <c r="AQ13" s="155" t="str">
        <f>ASISTENCIA!AK$12</f>
        <v>lun</v>
      </c>
      <c r="AR13" s="155" t="str">
        <f>ASISTENCIA!AL$12</f>
        <v>mar</v>
      </c>
      <c r="AS13" s="155" t="str">
        <f>ASISTENCIA!AM$12</f>
        <v>mié</v>
      </c>
      <c r="AT13" s="165" t="s">
        <v>571</v>
      </c>
      <c r="AU13" s="114"/>
      <c r="AV13" s="114"/>
      <c r="AW13" s="114"/>
      <c r="AX13" s="154" t="str">
        <f>ASISTENCIA!I$12</f>
        <v>lun</v>
      </c>
      <c r="AY13" s="154" t="str">
        <f>ASISTENCIA!J$12</f>
        <v>mar</v>
      </c>
      <c r="AZ13" s="154" t="str">
        <f>ASISTENCIA!K$12</f>
        <v>mié</v>
      </c>
      <c r="BA13" s="154" t="str">
        <f>ASISTENCIA!L$12</f>
        <v>jue</v>
      </c>
      <c r="BB13" s="154" t="str">
        <f>ASISTENCIA!M$12</f>
        <v>vie</v>
      </c>
      <c r="BC13" s="154" t="str">
        <f>ASISTENCIA!N$12</f>
        <v>sáb</v>
      </c>
      <c r="BD13" s="154" t="str">
        <f>ASISTENCIA!O$12</f>
        <v>dom</v>
      </c>
      <c r="BE13" s="154" t="str">
        <f>ASISTENCIA!P$12</f>
        <v>lun</v>
      </c>
      <c r="BF13" s="154" t="str">
        <f>ASISTENCIA!Q$12</f>
        <v>mar</v>
      </c>
      <c r="BG13" s="154" t="str">
        <f>ASISTENCIA!R$12</f>
        <v>mié</v>
      </c>
      <c r="BH13" s="154" t="str">
        <f>ASISTENCIA!S$12</f>
        <v>jue</v>
      </c>
      <c r="BI13" s="154" t="str">
        <f>ASISTENCIA!T$12</f>
        <v>vie</v>
      </c>
      <c r="BJ13" s="154" t="str">
        <f>ASISTENCIA!U$12</f>
        <v>sáb</v>
      </c>
      <c r="BK13" s="154" t="str">
        <f>ASISTENCIA!V$12</f>
        <v>dom</v>
      </c>
      <c r="BL13" s="154" t="str">
        <f>ASISTENCIA!W$12</f>
        <v>lun</v>
      </c>
      <c r="BM13" s="154" t="str">
        <f>ASISTENCIA!X$12</f>
        <v>mar</v>
      </c>
      <c r="BN13" s="154" t="str">
        <f>ASISTENCIA!Y$12</f>
        <v>mié</v>
      </c>
      <c r="BO13" s="154" t="str">
        <f>ASISTENCIA!Z$12</f>
        <v>jue</v>
      </c>
      <c r="BP13" s="154" t="str">
        <f>ASISTENCIA!AA$12</f>
        <v>vie</v>
      </c>
      <c r="BQ13" s="154" t="str">
        <f>ASISTENCIA!AB$12</f>
        <v>sáb</v>
      </c>
      <c r="BR13" s="154" t="str">
        <f>ASISTENCIA!AC$12</f>
        <v>dom</v>
      </c>
      <c r="BS13" s="154" t="str">
        <f>ASISTENCIA!AD$12</f>
        <v>lun</v>
      </c>
      <c r="BT13" s="154" t="str">
        <f>ASISTENCIA!AE$12</f>
        <v>mar</v>
      </c>
      <c r="BU13" s="154" t="str">
        <f>ASISTENCIA!AF$12</f>
        <v>mié</v>
      </c>
      <c r="BV13" s="154" t="str">
        <f>ASISTENCIA!AG$12</f>
        <v>jue</v>
      </c>
      <c r="BW13" s="154" t="str">
        <f>ASISTENCIA!AH$12</f>
        <v>vie</v>
      </c>
      <c r="BX13" s="154" t="str">
        <f>ASISTENCIA!AI$12</f>
        <v>sáb</v>
      </c>
      <c r="BY13" s="154" t="str">
        <f>ASISTENCIA!AJ$12</f>
        <v>dom</v>
      </c>
      <c r="BZ13" s="154" t="str">
        <f>ASISTENCIA!AK$12</f>
        <v>lun</v>
      </c>
      <c r="CA13" s="154" t="str">
        <f>ASISTENCIA!AL$12</f>
        <v>mar</v>
      </c>
      <c r="CB13" s="154" t="str">
        <f>ASISTENCIA!AM$12</f>
        <v>mié</v>
      </c>
      <c r="CC13" s="165" t="s">
        <v>571</v>
      </c>
      <c r="CD13" s="114"/>
    </row>
    <row r="14" ht="12.75" hidden="1" customHeight="1">
      <c r="A14" s="175"/>
      <c r="B14" s="176" t="str">
        <f>IF(LEN(C14)&gt;0,VLOOKUP($O$4,DATA!$A$1:$S$1,2,FALSE),"")</f>
        <v/>
      </c>
      <c r="C14" s="177" t="str">
        <f t="shared" ref="C14:C43" si="1">IF(LEN(D14)&gt;0,$AJ$8,"")</f>
        <v/>
      </c>
      <c r="D14" s="178" t="str">
        <f>IF(LEN(ASISTENCIA!E13)&gt;0,ASISTENCIA!E13,"")</f>
        <v/>
      </c>
      <c r="E14" s="179" t="str">
        <f>IF(LEN(D14)&gt;0,ASISTENCIA!F13,"")</f>
        <v/>
      </c>
      <c r="F14" s="180"/>
      <c r="G14" s="180"/>
      <c r="H14" s="180"/>
      <c r="I14" s="180"/>
      <c r="J14" s="180"/>
      <c r="K14" s="168" t="str">
        <f t="shared" ref="K14:K43" si="2">IF(SUM(F14:J14)&gt;0,SUM(F14:J14),"")</f>
        <v/>
      </c>
      <c r="L14" s="139"/>
      <c r="M14" s="181"/>
      <c r="N14" s="168" t="str">
        <f t="shared" ref="N14:N43" si="3">CC14</f>
        <v>#ERROR!</v>
      </c>
      <c r="O14" s="168" t="str">
        <f>IF(AND(LEN($D14)&gt;0,SUMIF($F$13:$J$13,O$13,$F14:$J14)&gt;0,ASISTENCIA!I13&lt;&gt;"X",ASISTENCIA!I13&lt;&gt;"L",ASISTENCIA!I13&lt;&gt;"J",ASISTENCIA!I13&lt;&gt;"V",ASISTENCIA!I13&lt;&gt;"F",ASISTENCIA!I13&lt;&gt;""),SUMIF($F$13:$J$13,O$13,$F14:$J14),"")</f>
        <v/>
      </c>
      <c r="P14" s="168" t="str">
        <f>IF(AND(LEN($D14)&gt;0,SUMIF($F$13:$J$13,P$13,$F14:$J14)&gt;0,ASISTENCIA!J13&lt;&gt;"X",ASISTENCIA!J13&lt;&gt;"L",ASISTENCIA!J13&lt;&gt;"J",ASISTENCIA!J13&lt;&gt;"V",ASISTENCIA!J13&lt;&gt;"F",ASISTENCIA!J13&lt;&gt;""),SUMIF($F$13:$J$13,P$13,$F14:$J14),"")</f>
        <v/>
      </c>
      <c r="Q14" s="168" t="str">
        <f>IF(AND(LEN($D14)&gt;0,SUMIF($F$13:$J$13,Q$13,$F14:$J14)&gt;0,ASISTENCIA!K13&lt;&gt;"X",ASISTENCIA!K13&lt;&gt;"L",ASISTENCIA!K13&lt;&gt;"J",ASISTENCIA!K13&lt;&gt;"V",ASISTENCIA!K13&lt;&gt;"F",ASISTENCIA!K13&lt;&gt;""),SUMIF($F$13:$J$13,Q$13,$F14:$J14),"")</f>
        <v/>
      </c>
      <c r="R14" s="168" t="str">
        <f>IF(AND(LEN($D14)&gt;0,SUMIF($F$13:$J$13,R$13,$F14:$J14)&gt;0,ASISTENCIA!L13&lt;&gt;"X",ASISTENCIA!L13&lt;&gt;"L",ASISTENCIA!L13&lt;&gt;"J",ASISTENCIA!L13&lt;&gt;"V",ASISTENCIA!L13&lt;&gt;"F",ASISTENCIA!L13&lt;&gt;""),SUMIF($F$13:$J$13,R$13,$F14:$J14),"")</f>
        <v/>
      </c>
      <c r="S14" s="168" t="str">
        <f>IF(AND(LEN($D14)&gt;0,SUMIF($F$13:$J$13,S$13,$F14:$J14)&gt;0,ASISTENCIA!M13&lt;&gt;"X",ASISTENCIA!M13&lt;&gt;"L",ASISTENCIA!M13&lt;&gt;"J",ASISTENCIA!M13&lt;&gt;"V",ASISTENCIA!M13&lt;&gt;"F",ASISTENCIA!M13&lt;&gt;""),SUMIF($F$13:$J$13,S$13,$F14:$J14),"")</f>
        <v/>
      </c>
      <c r="T14" s="168" t="str">
        <f>IF(AND(LEN($D14)&gt;0,SUMIF($F$13:$J$13,T$13,$F14:$J14)&gt;0,ASISTENCIA!N13&lt;&gt;"X",ASISTENCIA!N13&lt;&gt;"L",ASISTENCIA!N13&lt;&gt;"J",ASISTENCIA!N13&lt;&gt;"V",ASISTENCIA!N13&lt;&gt;"F",ASISTENCIA!N13&lt;&gt;""),SUMIF($F$13:$J$13,T$13,$F14:$J14),"")</f>
        <v/>
      </c>
      <c r="U14" s="168" t="str">
        <f>IF(AND(LEN($D14)&gt;0,SUMIF($F$13:$J$13,U$13,$F14:$J14)&gt;0,ASISTENCIA!O13&lt;&gt;"X",ASISTENCIA!O13&lt;&gt;"L",ASISTENCIA!O13&lt;&gt;"J",ASISTENCIA!O13&lt;&gt;"V",ASISTENCIA!O13&lt;&gt;"F",ASISTENCIA!O13&lt;&gt;""),SUMIF($F$13:$J$13,U$13,$F14:$J14),"")</f>
        <v/>
      </c>
      <c r="V14" s="168" t="str">
        <f>IF(AND(LEN($D14)&gt;0,SUMIF($F$13:$J$13,V$13,$F14:$J14)&gt;0,ASISTENCIA!P13&lt;&gt;"X",ASISTENCIA!P13&lt;&gt;"L",ASISTENCIA!P13&lt;&gt;"J",ASISTENCIA!P13&lt;&gt;"V",ASISTENCIA!P13&lt;&gt;"F",ASISTENCIA!P13&lt;&gt;""),SUMIF($F$13:$J$13,V$13,$F14:$J14),"")</f>
        <v/>
      </c>
      <c r="W14" s="168" t="str">
        <f>IF(AND(LEN($D14)&gt;0,SUMIF($F$13:$J$13,W$13,$F14:$J14)&gt;0,ASISTENCIA!Q13&lt;&gt;"X",ASISTENCIA!Q13&lt;&gt;"L",ASISTENCIA!Q13&lt;&gt;"J",ASISTENCIA!Q13&lt;&gt;"V",ASISTENCIA!Q13&lt;&gt;"F",ASISTENCIA!Q13&lt;&gt;""),SUMIF($F$13:$J$13,W$13,$F14:$J14),"")</f>
        <v/>
      </c>
      <c r="X14" s="168" t="str">
        <f>IF(AND(LEN($D14)&gt;0,SUMIF($F$13:$J$13,X$13,$F14:$J14)&gt;0,ASISTENCIA!R13&lt;&gt;"X",ASISTENCIA!R13&lt;&gt;"L",ASISTENCIA!R13&lt;&gt;"J",ASISTENCIA!R13&lt;&gt;"V",ASISTENCIA!R13&lt;&gt;"F",ASISTENCIA!R13&lt;&gt;""),SUMIF($F$13:$J$13,X$13,$F14:$J14),"")</f>
        <v/>
      </c>
      <c r="Y14" s="168" t="str">
        <f>IF(AND(LEN($D14)&gt;0,SUMIF($F$13:$J$13,Y$13,$F14:$J14)&gt;0,ASISTENCIA!S13&lt;&gt;"X",ASISTENCIA!S13&lt;&gt;"L",ASISTENCIA!S13&lt;&gt;"J",ASISTENCIA!S13&lt;&gt;"V",ASISTENCIA!S13&lt;&gt;"F",ASISTENCIA!S13&lt;&gt;""),SUMIF($F$13:$J$13,Y$13,$F14:$J14),"")</f>
        <v/>
      </c>
      <c r="Z14" s="168" t="str">
        <f>IF(AND(LEN($D14)&gt;0,SUMIF($F$13:$J$13,Z$13,$F14:$J14)&gt;0,ASISTENCIA!T13&lt;&gt;"X",ASISTENCIA!T13&lt;&gt;"L",ASISTENCIA!T13&lt;&gt;"J",ASISTENCIA!T13&lt;&gt;"V",ASISTENCIA!T13&lt;&gt;"F",ASISTENCIA!T13&lt;&gt;""),SUMIF($F$13:$J$13,Z$13,$F14:$J14),"")</f>
        <v/>
      </c>
      <c r="AA14" s="168" t="str">
        <f>IF(AND(LEN($D14)&gt;0,SUMIF($F$13:$J$13,AA$13,$F14:$J14)&gt;0,ASISTENCIA!U13&lt;&gt;"X",ASISTENCIA!U13&lt;&gt;"L",ASISTENCIA!U13&lt;&gt;"J",ASISTENCIA!U13&lt;&gt;"V",ASISTENCIA!U13&lt;&gt;"F",ASISTENCIA!U13&lt;&gt;""),SUMIF($F$13:$J$13,AA$13,$F14:$J14),"")</f>
        <v/>
      </c>
      <c r="AB14" s="168" t="str">
        <f>IF(AND(LEN($D14)&gt;0,SUMIF($F$13:$J$13,AB$13,$F14:$J14)&gt;0,ASISTENCIA!V13&lt;&gt;"X",ASISTENCIA!V13&lt;&gt;"L",ASISTENCIA!V13&lt;&gt;"J",ASISTENCIA!V13&lt;&gt;"V",ASISTENCIA!V13&lt;&gt;"F",ASISTENCIA!V13&lt;&gt;""),SUMIF($F$13:$J$13,AB$13,$F14:$J14),"")</f>
        <v/>
      </c>
      <c r="AC14" s="168" t="str">
        <f>IF(AND(LEN($D14)&gt;0,SUMIF($F$13:$J$13,AC$13,$F14:$J14)&gt;0,ASISTENCIA!W13&lt;&gt;"X",ASISTENCIA!W13&lt;&gt;"L",ASISTENCIA!W13&lt;&gt;"J",ASISTENCIA!W13&lt;&gt;"V",ASISTENCIA!W13&lt;&gt;"F",ASISTENCIA!W13&lt;&gt;""),SUMIF($F$13:$J$13,AC$13,$F14:$J14),"")</f>
        <v/>
      </c>
      <c r="AD14" s="168" t="str">
        <f>IF(AND(LEN($D14)&gt;0,SUMIF($F$13:$J$13,AD$13,$F14:$J14)&gt;0,ASISTENCIA!X13&lt;&gt;"X",ASISTENCIA!X13&lt;&gt;"L",ASISTENCIA!X13&lt;&gt;"J",ASISTENCIA!X13&lt;&gt;"V",ASISTENCIA!X13&lt;&gt;"F",ASISTENCIA!X13&lt;&gt;""),SUMIF($F$13:$J$13,AD$13,$F14:$J14),"")</f>
        <v/>
      </c>
      <c r="AE14" s="168" t="str">
        <f>IF(AND(LEN($D14)&gt;0,SUMIF($F$13:$J$13,AE$13,$F14:$J14)&gt;0,ASISTENCIA!Y13&lt;&gt;"X",ASISTENCIA!Y13&lt;&gt;"L",ASISTENCIA!Y13&lt;&gt;"J",ASISTENCIA!Y13&lt;&gt;"V",ASISTENCIA!Y13&lt;&gt;"F",ASISTENCIA!Y13&lt;&gt;""),SUMIF($F$13:$J$13,AE$13,$F14:$J14),"")</f>
        <v/>
      </c>
      <c r="AF14" s="168" t="str">
        <f>IF(AND(LEN($D14)&gt;0,SUMIF($F$13:$J$13,AF$13,$F14:$J14)&gt;0,ASISTENCIA!Z13&lt;&gt;"X",ASISTENCIA!Z13&lt;&gt;"L",ASISTENCIA!Z13&lt;&gt;"J",ASISTENCIA!Z13&lt;&gt;"V",ASISTENCIA!Z13&lt;&gt;"F",ASISTENCIA!Z13&lt;&gt;""),SUMIF($F$13:$J$13,AF$13,$F14:$J14),"")</f>
        <v/>
      </c>
      <c r="AG14" s="168" t="str">
        <f>IF(AND(LEN($D14)&gt;0,SUMIF($F$13:$J$13,AG$13,$F14:$J14)&gt;0,ASISTENCIA!AA13&lt;&gt;"X",ASISTENCIA!AA13&lt;&gt;"L",ASISTENCIA!AA13&lt;&gt;"J",ASISTENCIA!AA13&lt;&gt;"V",ASISTENCIA!AA13&lt;&gt;"F",ASISTENCIA!AA13&lt;&gt;""),SUMIF($F$13:$J$13,AG$13,$F14:$J14),"")</f>
        <v/>
      </c>
      <c r="AH14" s="168" t="str">
        <f>IF(AND(LEN($D14)&gt;0,SUMIF($F$13:$J$13,AH$13,$F14:$J14)&gt;0,ASISTENCIA!AB13&lt;&gt;"X",ASISTENCIA!AB13&lt;&gt;"L",ASISTENCIA!AB13&lt;&gt;"J",ASISTENCIA!AB13&lt;&gt;"V",ASISTENCIA!AB13&lt;&gt;"F",ASISTENCIA!AB13&lt;&gt;""),SUMIF($F$13:$J$13,AH$13,$F14:$J14),"")</f>
        <v/>
      </c>
      <c r="AI14" s="168" t="str">
        <f>IF(AND(LEN($D14)&gt;0,SUMIF($F$13:$J$13,AI$13,$F14:$J14)&gt;0,ASISTENCIA!AC13&lt;&gt;"X",ASISTENCIA!AC13&lt;&gt;"L",ASISTENCIA!AC13&lt;&gt;"J",ASISTENCIA!AC13&lt;&gt;"V",ASISTENCIA!AC13&lt;&gt;"F",ASISTENCIA!AC13&lt;&gt;""),SUMIF($F$13:$J$13,AI$13,$F14:$J14),"")</f>
        <v/>
      </c>
      <c r="AJ14" s="168" t="str">
        <f>IF(AND(LEN($D14)&gt;0,SUMIF($F$13:$J$13,AJ$13,$F14:$J14)&gt;0,ASISTENCIA!AD13&lt;&gt;"X",ASISTENCIA!AD13&lt;&gt;"L",ASISTENCIA!AD13&lt;&gt;"J",ASISTENCIA!AD13&lt;&gt;"V",ASISTENCIA!AD13&lt;&gt;"F",ASISTENCIA!AD13&lt;&gt;""),SUMIF($F$13:$J$13,AJ$13,$F14:$J14),"")</f>
        <v/>
      </c>
      <c r="AK14" s="168" t="str">
        <f>IF(AND(LEN($D14)&gt;0,SUMIF($F$13:$J$13,AK$13,$F14:$J14)&gt;0,ASISTENCIA!AE13&lt;&gt;"X",ASISTENCIA!AE13&lt;&gt;"L",ASISTENCIA!AE13&lt;&gt;"J",ASISTENCIA!AE13&lt;&gt;"V",ASISTENCIA!AE13&lt;&gt;"F",ASISTENCIA!AE13&lt;&gt;""),SUMIF($F$13:$J$13,AK$13,$F14:$J14),"")</f>
        <v/>
      </c>
      <c r="AL14" s="168" t="str">
        <f>IF(AND(LEN($D14)&gt;0,SUMIF($F$13:$J$13,AL$13,$F14:$J14)&gt;0,ASISTENCIA!AF13&lt;&gt;"X",ASISTENCIA!AF13&lt;&gt;"L",ASISTENCIA!AF13&lt;&gt;"J",ASISTENCIA!AF13&lt;&gt;"V",ASISTENCIA!AF13&lt;&gt;"F",ASISTENCIA!AF13&lt;&gt;""),SUMIF($F$13:$J$13,AL$13,$F14:$J14),"")</f>
        <v/>
      </c>
      <c r="AM14" s="168" t="str">
        <f>IF(AND(LEN($D14)&gt;0,SUMIF($F$13:$J$13,AM$13,$F14:$J14)&gt;0,ASISTENCIA!AG13&lt;&gt;"X",ASISTENCIA!AG13&lt;&gt;"L",ASISTENCIA!AG13&lt;&gt;"J",ASISTENCIA!AG13&lt;&gt;"V",ASISTENCIA!AG13&lt;&gt;"F",ASISTENCIA!AG13&lt;&gt;""),SUMIF($F$13:$J$13,AM$13,$F14:$J14),"")</f>
        <v/>
      </c>
      <c r="AN14" s="168" t="str">
        <f>IF(AND(LEN($D14)&gt;0,SUMIF($F$13:$J$13,AN$13,$F14:$J14)&gt;0,ASISTENCIA!AH13&lt;&gt;"X",ASISTENCIA!AH13&lt;&gt;"L",ASISTENCIA!AH13&lt;&gt;"J",ASISTENCIA!AH13&lt;&gt;"V",ASISTENCIA!AH13&lt;&gt;"F",ASISTENCIA!AH13&lt;&gt;""),SUMIF($F$13:$J$13,AN$13,$F14:$J14),"")</f>
        <v/>
      </c>
      <c r="AO14" s="168" t="str">
        <f>IF(AND(LEN($D14)&gt;0,SUMIF($F$13:$J$13,AO$13,$F14:$J14)&gt;0,ASISTENCIA!AI13&lt;&gt;"X",ASISTENCIA!AI13&lt;&gt;"L",ASISTENCIA!AI13&lt;&gt;"J",ASISTENCIA!AI13&lt;&gt;"V",ASISTENCIA!AI13&lt;&gt;"F",ASISTENCIA!AI13&lt;&gt;""),SUMIF($F$13:$J$13,AO$13,$F14:$J14),"")</f>
        <v/>
      </c>
      <c r="AP14" s="168" t="str">
        <f>IF(AND(LEN($D14)&gt;0,SUMIF($F$13:$J$13,AP$13,$F14:$J14)&gt;0,ASISTENCIA!AJ13&lt;&gt;"X",ASISTENCIA!AJ13&lt;&gt;"L",ASISTENCIA!AJ13&lt;&gt;"J",ASISTENCIA!AJ13&lt;&gt;"V",ASISTENCIA!AJ13&lt;&gt;"F",ASISTENCIA!AJ13&lt;&gt;""),SUMIF($F$13:$J$13,AP$13,$F14:$J14),"")</f>
        <v/>
      </c>
      <c r="AQ14" s="168" t="str">
        <f>IF(AND(LEN($D14)&gt;0,SUMIF($F$13:$J$13,AQ$13,$F14:$J14)&gt;0,ASISTENCIA!AK13&lt;&gt;"X",ASISTENCIA!AK13&lt;&gt;"L",ASISTENCIA!AK13&lt;&gt;"J",ASISTENCIA!AK13&lt;&gt;"V",ASISTENCIA!AK13&lt;&gt;"F",ASISTENCIA!AK13&lt;&gt;""),SUMIF($F$13:$J$13,AQ$13,$F14:$J14),"")</f>
        <v/>
      </c>
      <c r="AR14" s="168" t="str">
        <f>IF(AND(LEN($D14)&gt;0,SUMIF($F$13:$J$13,AR$13,$F14:$J14)&gt;0,ASISTENCIA!AL13&lt;&gt;"X",ASISTENCIA!AL13&lt;&gt;"L",ASISTENCIA!AL13&lt;&gt;"J",ASISTENCIA!AL13&lt;&gt;"V",ASISTENCIA!AL13&lt;&gt;"F",ASISTENCIA!AL13&lt;&gt;""),SUMIF($F$13:$J$13,AR$13,$F14:$J14),"")</f>
        <v/>
      </c>
      <c r="AS14" s="168" t="str">
        <f>IF(AND(LEN($D14)&gt;0,SUMIF($F$13:$J$13,AS$13,$F14:$J14)&gt;0,ASISTENCIA!AM13&lt;&gt;"X",ASISTENCIA!AM13&lt;&gt;"L",ASISTENCIA!AM13&lt;&gt;"J",ASISTENCIA!AM13&lt;&gt;"V",ASISTENCIA!AM13&lt;&gt;"F",ASISTENCIA!AM13&lt;&gt;""),SUMIF($F$13:$J$13,AS$13,$F14:$J14),"")</f>
        <v/>
      </c>
      <c r="AT14" s="182" t="str">
        <f t="shared" ref="AT14:AT43" si="4">IF(SUM(O14:AS14)&gt;0,SUM(O14:AS14),"")</f>
        <v/>
      </c>
      <c r="AU14" s="157"/>
      <c r="AV14" s="157"/>
      <c r="AW14" s="157"/>
      <c r="AX14" s="168" t="str">
        <f>IF(AND(LEN($D14)&gt;0,SUMIF($F$13:$J$13,AX$13,$F14:$J14)&gt;0,ASISTENCIA!AU13&lt;&gt;"X",ASISTENCIA!AU13&lt;&gt;"L",ASISTENCIA!AU13&lt;&gt;"J",ASISTENCIA!AU13&lt;&gt;"F"),SUMIF($F$13:$J$13,AX$13,$F14:$J14),"")</f>
        <v/>
      </c>
      <c r="AY14" s="168" t="str">
        <f>IF(AND(LEN($D14)&gt;0,SUMIF($F$13:$J$13,AY$13,$F14:$J14)&gt;0,ASISTENCIA!#REF!&lt;&gt;"X",ASISTENCIA!#REF!&lt;&gt;"L",ASISTENCIA!#REF!&lt;&gt;"J",ASISTENCIA!#REF!&lt;&gt;"F"),SUMIF($F$13:$J$13,AY$13,$F14:$J14),"")</f>
        <v>#ERROR!</v>
      </c>
      <c r="AZ14" s="168" t="str">
        <f>IF(AND(LEN($D14)&gt;0,SUMIF($F$13:$J$13,AZ$13,$F14:$J14)&gt;0,ASISTENCIA!BF13&lt;&gt;"X",ASISTENCIA!BF13&lt;&gt;"L",ASISTENCIA!BF13&lt;&gt;"J",ASISTENCIA!BF13&lt;&gt;"F"),SUMIF($F$13:$J$13,AZ$13,$F14:$J14),"")</f>
        <v/>
      </c>
      <c r="BA14" s="168" t="str">
        <f>IF(AND(LEN($D14)&gt;0,SUMIF($F$13:$J$13,BA$13,$F14:$J14)&gt;0,ASISTENCIA!BG13&lt;&gt;"X",ASISTENCIA!BG13&lt;&gt;"L",ASISTENCIA!BG13&lt;&gt;"J",ASISTENCIA!BG13&lt;&gt;"F"),SUMIF($F$13:$J$13,BA$13,$F14:$J14),"")</f>
        <v/>
      </c>
      <c r="BB14" s="168" t="str">
        <f>IF(AND(LEN($D14)&gt;0,SUMIF($F$13:$J$13,BB$13,$F14:$J14)&gt;0,ASISTENCIA!BH13&lt;&gt;"X",ASISTENCIA!BH13&lt;&gt;"L",ASISTENCIA!BH13&lt;&gt;"J",ASISTENCIA!BH13&lt;&gt;"F"),SUMIF($F$13:$J$13,BB$13,$F14:$J14),"")</f>
        <v/>
      </c>
      <c r="BC14" s="168" t="str">
        <f>IF(AND(LEN($D14)&gt;0,SUMIF($F$13:$J$13,BC$13,$F14:$J14)&gt;0,ASISTENCIA!AZ13&lt;&gt;"X",ASISTENCIA!AZ13&lt;&gt;"L",ASISTENCIA!AZ13&lt;&gt;"J",ASISTENCIA!AZ13&lt;&gt;"F"),SUMIF($F$13:$J$13,BC$13,$F14:$J14),"")</f>
        <v/>
      </c>
      <c r="BD14" s="168" t="str">
        <f>IF(AND(LEN($D14)&gt;0,SUMIF($F$13:$J$13,BD$13,$F14:$J14)&gt;0,ASISTENCIA!BA13&lt;&gt;"X",ASISTENCIA!BA13&lt;&gt;"L",ASISTENCIA!BA13&lt;&gt;"J",ASISTENCIA!BA13&lt;&gt;"F"),SUMIF($F$13:$J$13,BD$13,$F14:$J14),"")</f>
        <v/>
      </c>
      <c r="BE14" s="168" t="str">
        <f>IF(AND(LEN($D14)&gt;0,SUMIF($F$13:$J$13,BE$13,$F14:$J14)&gt;0,ASISTENCIA!BB13&lt;&gt;"X",ASISTENCIA!BB13&lt;&gt;"L",ASISTENCIA!BB13&lt;&gt;"J",ASISTENCIA!BB13&lt;&gt;"F"),SUMIF($F$13:$J$13,BE$13,$F14:$J14),"")</f>
        <v/>
      </c>
      <c r="BF14" s="168" t="str">
        <f>IF(AND(LEN($D14)&gt;0,SUMIF($F$13:$J$13,BF$13,$F14:$J14)&gt;0,ASISTENCIA!BC13&lt;&gt;"X",ASISTENCIA!BC13&lt;&gt;"L",ASISTENCIA!BC13&lt;&gt;"J",ASISTENCIA!BC13&lt;&gt;"F"),SUMIF($F$13:$J$13,BF$13,$F14:$J14),"")</f>
        <v/>
      </c>
      <c r="BG14" s="168" t="str">
        <f>IF(AND(LEN($D14)&gt;0,SUMIF($F$13:$J$13,BG$13,$F14:$J14)&gt;0,ASISTENCIA!BD13&lt;&gt;"X",ASISTENCIA!BD13&lt;&gt;"L",ASISTENCIA!BD13&lt;&gt;"J",ASISTENCIA!BD13&lt;&gt;"F"),SUMIF($F$13:$J$13,BG$13,$F14:$J14),"")</f>
        <v/>
      </c>
      <c r="BH14" s="168" t="str">
        <f>IF(AND(LEN($D14)&gt;0,SUMIF($F$13:$J$13,BH$13,$F14:$J14)&gt;0,ASISTENCIA!#REF!&lt;&gt;"X",ASISTENCIA!#REF!&lt;&gt;"L",ASISTENCIA!#REF!&lt;&gt;"J",ASISTENCIA!#REF!&lt;&gt;"F"),SUMIF($F$13:$J$13,BH$13,$F14:$J14),"")</f>
        <v>#ERROR!</v>
      </c>
      <c r="BI14" s="168" t="str">
        <f>IF(AND(LEN($D14)&gt;0,SUMIF($F$13:$J$13,BI$13,$F14:$J14)&gt;0,ASISTENCIA!#REF!&lt;&gt;"X",ASISTENCIA!#REF!&lt;&gt;"L",ASISTENCIA!#REF!&lt;&gt;"J",ASISTENCIA!#REF!&lt;&gt;"F"),SUMIF($F$13:$J$13,BI$13,$F14:$J14),"")</f>
        <v>#ERROR!</v>
      </c>
      <c r="BJ14" s="168" t="str">
        <f>IF(AND(LEN($D14)&gt;0,SUMIF($F$13:$J$13,BJ$13,$F14:$J14)&gt;0,ASISTENCIA!#REF!&lt;&gt;"X",ASISTENCIA!#REF!&lt;&gt;"L",ASISTENCIA!#REF!&lt;&gt;"J",ASISTENCIA!#REF!&lt;&gt;"F"),SUMIF($F$13:$J$13,BJ$13,$F14:$J14),"")</f>
        <v>#ERROR!</v>
      </c>
      <c r="BK14" s="168" t="str">
        <f>IF(AND(LEN($D14)&gt;0,SUMIF($F$13:$J$13,BK$13,$F14:$J14)&gt;0,ASISTENCIA!#REF!&lt;&gt;"X",ASISTENCIA!#REF!&lt;&gt;"L",ASISTENCIA!#REF!&lt;&gt;"J",ASISTENCIA!#REF!&lt;&gt;"F"),SUMIF($F$13:$J$13,BK$13,$F14:$J14),"")</f>
        <v>#ERROR!</v>
      </c>
      <c r="BL14" s="168" t="str">
        <f>IF(AND(LEN($D14)&gt;0,SUMIF($F$13:$J$13,BL$13,$F14:$J14)&gt;0,ASISTENCIA!BI13&lt;&gt;"X",ASISTENCIA!BI13&lt;&gt;"L",ASISTENCIA!BI13&lt;&gt;"J",ASISTENCIA!BI13&lt;&gt;"F"),SUMIF($F$13:$J$13,BL$13,$F14:$J14),"")</f>
        <v/>
      </c>
      <c r="BM14" s="168" t="str">
        <f>IF(AND(LEN($D14)&gt;0,SUMIF($F$13:$J$13,BM$13,$F14:$J14)&gt;0,ASISTENCIA!BJ13&lt;&gt;"X",ASISTENCIA!BJ13&lt;&gt;"L",ASISTENCIA!BJ13&lt;&gt;"J",ASISTENCIA!BJ13&lt;&gt;"F"),SUMIF($F$13:$J$13,BM$13,$F14:$J14),"")</f>
        <v/>
      </c>
      <c r="BN14" s="168" t="str">
        <f>IF(AND(LEN($D14)&gt;0,SUMIF($F$13:$J$13,BN$13,$F14:$J14)&gt;0,ASISTENCIA!BK13&lt;&gt;"X",ASISTENCIA!BK13&lt;&gt;"L",ASISTENCIA!BK13&lt;&gt;"J",ASISTENCIA!BK13&lt;&gt;"F"),SUMIF($F$13:$J$13,BN$13,$F14:$J14),"")</f>
        <v/>
      </c>
      <c r="BO14" s="168" t="str">
        <f>IF(AND(LEN($D14)&gt;0,SUMIF($F$13:$J$13,BO$13,$F14:$J14)&gt;0,ASISTENCIA!BL13&lt;&gt;"X",ASISTENCIA!BL13&lt;&gt;"L",ASISTENCIA!BL13&lt;&gt;"J",ASISTENCIA!BL13&lt;&gt;"F"),SUMIF($F$13:$J$13,BO$13,$F14:$J14),"")</f>
        <v/>
      </c>
      <c r="BP14" s="168" t="str">
        <f>IF(AND(LEN($D14)&gt;0,SUMIF($F$13:$J$13,BP$13,$F14:$J14)&gt;0,ASISTENCIA!BM13&lt;&gt;"X",ASISTENCIA!BM13&lt;&gt;"L",ASISTENCIA!BM13&lt;&gt;"J",ASISTENCIA!BM13&lt;&gt;"F"),SUMIF($F$13:$J$13,BP$13,$F14:$J14),"")</f>
        <v/>
      </c>
      <c r="BQ14" s="168" t="str">
        <f>IF(AND(LEN($D14)&gt;0,SUMIF($F$13:$J$13,BQ$13,$F14:$J14)&gt;0,ASISTENCIA!BN13&lt;&gt;"X",ASISTENCIA!BN13&lt;&gt;"L",ASISTENCIA!BN13&lt;&gt;"J",ASISTENCIA!BN13&lt;&gt;"F"),SUMIF($F$13:$J$13,BQ$13,$F14:$J14),"")</f>
        <v/>
      </c>
      <c r="BR14" s="168" t="str">
        <f>IF(AND(LEN($D14)&gt;0,SUMIF($F$13:$J$13,BR$13,$F14:$J14)&gt;0,ASISTENCIA!BO13&lt;&gt;"X",ASISTENCIA!BO13&lt;&gt;"L",ASISTENCIA!BO13&lt;&gt;"J",ASISTENCIA!BO13&lt;&gt;"F"),SUMIF($F$13:$J$13,BR$13,$F14:$J14),"")</f>
        <v/>
      </c>
      <c r="BS14" s="168" t="str">
        <f>IF(AND(LEN($D14)&gt;0,SUMIF($F$13:$J$13,BS$13,$F14:$J14)&gt;0,ASISTENCIA!BP13&lt;&gt;"X",ASISTENCIA!BP13&lt;&gt;"L",ASISTENCIA!BP13&lt;&gt;"J",ASISTENCIA!BP13&lt;&gt;"F"),SUMIF($F$13:$J$13,BS$13,$F14:$J14),"")</f>
        <v/>
      </c>
      <c r="BT14" s="168" t="str">
        <f>IF(AND(LEN($D14)&gt;0,SUMIF($F$13:$J$13,BT$13,$F14:$J14)&gt;0,ASISTENCIA!BQ13&lt;&gt;"X",ASISTENCIA!BQ13&lt;&gt;"L",ASISTENCIA!BQ13&lt;&gt;"J",ASISTENCIA!BQ13&lt;&gt;"F"),SUMIF($F$13:$J$13,BT$13,$F14:$J14),"")</f>
        <v/>
      </c>
      <c r="BU14" s="168" t="str">
        <f>IF(AND(LEN($D14)&gt;0,SUMIF($F$13:$J$13,BU$13,$F14:$J14)&gt;0,ASISTENCIA!BR13&lt;&gt;"X",ASISTENCIA!BR13&lt;&gt;"L",ASISTENCIA!BR13&lt;&gt;"J",ASISTENCIA!BR13&lt;&gt;"F"),SUMIF($F$13:$J$13,BU$13,$F14:$J14),"")</f>
        <v/>
      </c>
      <c r="BV14" s="168" t="str">
        <f>IF(AND(LEN($D14)&gt;0,SUMIF($F$13:$J$13,BV$13,$F14:$J14)&gt;0,ASISTENCIA!BS13&lt;&gt;"X",ASISTENCIA!BS13&lt;&gt;"L",ASISTENCIA!BS13&lt;&gt;"J",ASISTENCIA!BS13&lt;&gt;"F"),SUMIF($F$13:$J$13,BV$13,$F14:$J14),"")</f>
        <v/>
      </c>
      <c r="BW14" s="168" t="str">
        <f>IF(AND(LEN($D14)&gt;0,SUMIF($F$13:$J$13,BW$13,$F14:$J14)&gt;0,ASISTENCIA!BT13&lt;&gt;"X",ASISTENCIA!BT13&lt;&gt;"L",ASISTENCIA!BT13&lt;&gt;"J",ASISTENCIA!BT13&lt;&gt;"F"),SUMIF($F$13:$J$13,BW$13,$F14:$J14),"")</f>
        <v/>
      </c>
      <c r="BX14" s="168" t="str">
        <f>IF(AND(LEN($D14)&gt;0,SUMIF($F$13:$J$13,BX$13,$F14:$J14)&gt;0,ASISTENCIA!BU13&lt;&gt;"X",ASISTENCIA!BU13&lt;&gt;"L",ASISTENCIA!BU13&lt;&gt;"J",ASISTENCIA!BU13&lt;&gt;"F"),SUMIF($F$13:$J$13,BX$13,$F14:$J14),"")</f>
        <v/>
      </c>
      <c r="BY14" s="168" t="str">
        <f>IF(AND(LEN($D14)&gt;0,SUMIF($F$13:$J$13,BY$13,$F14:$J14)&gt;0,ASISTENCIA!BV13&lt;&gt;"X",ASISTENCIA!BV13&lt;&gt;"L",ASISTENCIA!BV13&lt;&gt;"J",ASISTENCIA!BV13&lt;&gt;"F"),SUMIF($F$13:$J$13,BY$13,$F14:$J14),"")</f>
        <v/>
      </c>
      <c r="BZ14" s="168" t="str">
        <f>IF(AND(LEN($D14)&gt;0,SUMIF($F$13:$J$13,BZ$13,$F14:$J14)&gt;0,ASISTENCIA!BW13&lt;&gt;"X",ASISTENCIA!BW13&lt;&gt;"L",ASISTENCIA!BW13&lt;&gt;"J",ASISTENCIA!BW13&lt;&gt;"F"),SUMIF($F$13:$J$13,BZ$13,$F14:$J14),"")</f>
        <v/>
      </c>
      <c r="CA14" s="168" t="str">
        <f>IF(AND(LEN($D14)&gt;0,SUMIF($F$13:$J$13,CA$13,$F14:$J14)&gt;0,ASISTENCIA!BX13&lt;&gt;"X",ASISTENCIA!BX13&lt;&gt;"L",ASISTENCIA!BX13&lt;&gt;"J",ASISTENCIA!BX13&lt;&gt;"F"),SUMIF($F$13:$J$13,CA$13,$F14:$J14),"")</f>
        <v/>
      </c>
      <c r="CB14" s="168" t="str">
        <f>IF(AND(LEN($D14)&gt;0,SUMIF($F$13:$J$13,CB$13,$F14:$J14)&gt;0,ASISTENCIA!BY13&lt;&gt;"X",ASISTENCIA!BY13&lt;&gt;"L",ASISTENCIA!BY13&lt;&gt;"J",ASISTENCIA!BY13&lt;&gt;"F"),SUMIF($F$13:$J$13,CB$13,$F14:$J14),"")</f>
        <v/>
      </c>
      <c r="CC14" s="182" t="str">
        <f t="shared" ref="CC14:CC43" si="5">IF(SUM(AX14:CB14)&gt;0,SUM(AX14:CB14),"")</f>
        <v>#ERROR!</v>
      </c>
      <c r="CD14" s="157"/>
    </row>
    <row r="15" ht="12.75" customHeight="1">
      <c r="A15" s="132" t="str">
        <f t="shared" ref="A15:A43" si="6">IF(LEN(B15)&gt;0,1+A14,"")</f>
        <v/>
      </c>
      <c r="B15" s="183" t="str">
        <f>IF(LEN(C15)&gt;0,VLOOKUP($O$4,DATA!$A$1:$S$1,2,FALSE),"")</f>
        <v/>
      </c>
      <c r="C15" s="184" t="str">
        <f t="shared" si="1"/>
        <v/>
      </c>
      <c r="D15" s="136" t="str">
        <f>IF(LEN(ASISTENCIA!E14)&gt;0,ASISTENCIA!E14,"")</f>
        <v/>
      </c>
      <c r="E15" s="167" t="str">
        <f>IF(LEN(D15)&gt;0,ASISTENCIA!F14,"")</f>
        <v/>
      </c>
      <c r="F15" s="180"/>
      <c r="G15" s="180"/>
      <c r="H15" s="180"/>
      <c r="I15" s="180"/>
      <c r="J15" s="180"/>
      <c r="K15" s="168" t="str">
        <f t="shared" si="2"/>
        <v/>
      </c>
      <c r="L15" s="185"/>
      <c r="M15" s="168"/>
      <c r="N15" s="168" t="str">
        <f t="shared" si="3"/>
        <v>#ERROR!</v>
      </c>
      <c r="O15" s="168" t="str">
        <f>IF(AND(LEN($D15)&gt;0,SUMIF($F$13:$J$13,O$13,$F15:$J15)&gt;0,ASISTENCIA!I14&lt;&gt;"X",ASISTENCIA!I14&lt;&gt;"L",ASISTENCIA!I14&lt;&gt;"J",ASISTENCIA!I14&lt;&gt;"V",ASISTENCIA!I14&lt;&gt;"F",ASISTENCIA!I14&lt;&gt;""),SUMIF($F$13:$J$13,O$13,$F15:$J15),"")</f>
        <v/>
      </c>
      <c r="P15" s="168" t="str">
        <f>IF(AND(LEN($D15)&gt;0,SUMIF($F$13:$J$13,P$13,$F15:$J15)&gt;0,ASISTENCIA!J14&lt;&gt;"X",ASISTENCIA!J14&lt;&gt;"L",ASISTENCIA!J14&lt;&gt;"J",ASISTENCIA!J14&lt;&gt;"V",ASISTENCIA!J14&lt;&gt;"F",ASISTENCIA!J14&lt;&gt;""),SUMIF($F$13:$J$13,P$13,$F15:$J15),"")</f>
        <v/>
      </c>
      <c r="Q15" s="168" t="str">
        <f>IF(AND(LEN($D15)&gt;0,SUMIF($F$13:$J$13,Q$13,$F15:$J15)&gt;0,ASISTENCIA!K14&lt;&gt;"X",ASISTENCIA!K14&lt;&gt;"L",ASISTENCIA!K14&lt;&gt;"J",ASISTENCIA!K14&lt;&gt;"V",ASISTENCIA!K14&lt;&gt;"F",ASISTENCIA!K14&lt;&gt;""),SUMIF($F$13:$J$13,Q$13,$F15:$J15),"")</f>
        <v/>
      </c>
      <c r="R15" s="168" t="str">
        <f>IF(AND(LEN($D15)&gt;0,SUMIF($F$13:$J$13,R$13,$F15:$J15)&gt;0,ASISTENCIA!L14&lt;&gt;"X",ASISTENCIA!L14&lt;&gt;"L",ASISTENCIA!L14&lt;&gt;"J",ASISTENCIA!L14&lt;&gt;"V",ASISTENCIA!L14&lt;&gt;"F",ASISTENCIA!L14&lt;&gt;""),SUMIF($F$13:$J$13,R$13,$F15:$J15),"")</f>
        <v/>
      </c>
      <c r="S15" s="168" t="str">
        <f>IF(AND(LEN($D15)&gt;0,SUMIF($F$13:$J$13,S$13,$F15:$J15)&gt;0,ASISTENCIA!M14&lt;&gt;"X",ASISTENCIA!M14&lt;&gt;"L",ASISTENCIA!M14&lt;&gt;"J",ASISTENCIA!M14&lt;&gt;"V",ASISTENCIA!M14&lt;&gt;"F",ASISTENCIA!M14&lt;&gt;""),SUMIF($F$13:$J$13,S$13,$F15:$J15),"")</f>
        <v/>
      </c>
      <c r="T15" s="168" t="str">
        <f>IF(AND(LEN($D15)&gt;0,SUMIF($F$13:$J$13,T$13,$F15:$J15)&gt;0,ASISTENCIA!N14&lt;&gt;"X",ASISTENCIA!N14&lt;&gt;"L",ASISTENCIA!N14&lt;&gt;"J",ASISTENCIA!N14&lt;&gt;"V",ASISTENCIA!N14&lt;&gt;"F",ASISTENCIA!N14&lt;&gt;""),SUMIF($F$13:$J$13,T$13,$F15:$J15),"")</f>
        <v/>
      </c>
      <c r="U15" s="168" t="str">
        <f>IF(AND(LEN($D15)&gt;0,SUMIF($F$13:$J$13,U$13,$F15:$J15)&gt;0,ASISTENCIA!O14&lt;&gt;"X",ASISTENCIA!O14&lt;&gt;"L",ASISTENCIA!O14&lt;&gt;"J",ASISTENCIA!O14&lt;&gt;"V",ASISTENCIA!O14&lt;&gt;"F",ASISTENCIA!O14&lt;&gt;""),SUMIF($F$13:$J$13,U$13,$F15:$J15),"")</f>
        <v/>
      </c>
      <c r="V15" s="168" t="str">
        <f>IF(AND(LEN($D15)&gt;0,SUMIF($F$13:$J$13,V$13,$F15:$J15)&gt;0,ASISTENCIA!P14&lt;&gt;"X",ASISTENCIA!P14&lt;&gt;"L",ASISTENCIA!P14&lt;&gt;"J",ASISTENCIA!P14&lt;&gt;"V",ASISTENCIA!P14&lt;&gt;"F",ASISTENCIA!P14&lt;&gt;""),SUMIF($F$13:$J$13,V$13,$F15:$J15),"")</f>
        <v/>
      </c>
      <c r="W15" s="168" t="str">
        <f>IF(AND(LEN($D15)&gt;0,SUMIF($F$13:$J$13,W$13,$F15:$J15)&gt;0,ASISTENCIA!Q14&lt;&gt;"X",ASISTENCIA!Q14&lt;&gt;"L",ASISTENCIA!Q14&lt;&gt;"J",ASISTENCIA!Q14&lt;&gt;"V",ASISTENCIA!Q14&lt;&gt;"F",ASISTENCIA!Q14&lt;&gt;""),SUMIF($F$13:$J$13,W$13,$F15:$J15),"")</f>
        <v/>
      </c>
      <c r="X15" s="168" t="str">
        <f>IF(AND(LEN($D15)&gt;0,SUMIF($F$13:$J$13,X$13,$F15:$J15)&gt;0,ASISTENCIA!R14&lt;&gt;"X",ASISTENCIA!R14&lt;&gt;"L",ASISTENCIA!R14&lt;&gt;"J",ASISTENCIA!R14&lt;&gt;"V",ASISTENCIA!R14&lt;&gt;"F",ASISTENCIA!R14&lt;&gt;""),SUMIF($F$13:$J$13,X$13,$F15:$J15),"")</f>
        <v/>
      </c>
      <c r="Y15" s="168" t="str">
        <f>IF(AND(LEN($D15)&gt;0,SUMIF($F$13:$J$13,Y$13,$F15:$J15)&gt;0,ASISTENCIA!S14&lt;&gt;"X",ASISTENCIA!S14&lt;&gt;"L",ASISTENCIA!S14&lt;&gt;"J",ASISTENCIA!S14&lt;&gt;"V",ASISTENCIA!S14&lt;&gt;"F",ASISTENCIA!S14&lt;&gt;""),SUMIF($F$13:$J$13,Y$13,$F15:$J15),"")</f>
        <v/>
      </c>
      <c r="Z15" s="168" t="str">
        <f>IF(AND(LEN($D15)&gt;0,SUMIF($F$13:$J$13,Z$13,$F15:$J15)&gt;0,ASISTENCIA!T14&lt;&gt;"X",ASISTENCIA!T14&lt;&gt;"L",ASISTENCIA!T14&lt;&gt;"J",ASISTENCIA!T14&lt;&gt;"V",ASISTENCIA!T14&lt;&gt;"F",ASISTENCIA!T14&lt;&gt;""),SUMIF($F$13:$J$13,Z$13,$F15:$J15),"")</f>
        <v/>
      </c>
      <c r="AA15" s="168" t="str">
        <f>IF(AND(LEN($D15)&gt;0,SUMIF($F$13:$J$13,AA$13,$F15:$J15)&gt;0,ASISTENCIA!U14&lt;&gt;"X",ASISTENCIA!U14&lt;&gt;"L",ASISTENCIA!U14&lt;&gt;"J",ASISTENCIA!U14&lt;&gt;"V",ASISTENCIA!U14&lt;&gt;"F",ASISTENCIA!U14&lt;&gt;""),SUMIF($F$13:$J$13,AA$13,$F15:$J15),"")</f>
        <v/>
      </c>
      <c r="AB15" s="168" t="str">
        <f>IF(AND(LEN($D15)&gt;0,SUMIF($F$13:$J$13,AB$13,$F15:$J15)&gt;0,ASISTENCIA!V14&lt;&gt;"X",ASISTENCIA!V14&lt;&gt;"L",ASISTENCIA!V14&lt;&gt;"J",ASISTENCIA!V14&lt;&gt;"V",ASISTENCIA!V14&lt;&gt;"F",ASISTENCIA!V14&lt;&gt;""),SUMIF($F$13:$J$13,AB$13,$F15:$J15),"")</f>
        <v/>
      </c>
      <c r="AC15" s="168" t="str">
        <f>IF(AND(LEN($D15)&gt;0,SUMIF($F$13:$J$13,AC$13,$F15:$J15)&gt;0,ASISTENCIA!W14&lt;&gt;"X",ASISTENCIA!W14&lt;&gt;"L",ASISTENCIA!W14&lt;&gt;"J",ASISTENCIA!W14&lt;&gt;"V",ASISTENCIA!W14&lt;&gt;"F",ASISTENCIA!W14&lt;&gt;""),SUMIF($F$13:$J$13,AC$13,$F15:$J15),"")</f>
        <v/>
      </c>
      <c r="AD15" s="168" t="str">
        <f>IF(AND(LEN($D15)&gt;0,SUMIF($F$13:$J$13,AD$13,$F15:$J15)&gt;0,ASISTENCIA!X14&lt;&gt;"X",ASISTENCIA!X14&lt;&gt;"L",ASISTENCIA!X14&lt;&gt;"J",ASISTENCIA!X14&lt;&gt;"V",ASISTENCIA!X14&lt;&gt;"F",ASISTENCIA!X14&lt;&gt;""),SUMIF($F$13:$J$13,AD$13,$F15:$J15),"")</f>
        <v/>
      </c>
      <c r="AE15" s="168" t="str">
        <f>IF(AND(LEN($D15)&gt;0,SUMIF($F$13:$J$13,AE$13,$F15:$J15)&gt;0,ASISTENCIA!Y14&lt;&gt;"X",ASISTENCIA!Y14&lt;&gt;"L",ASISTENCIA!Y14&lt;&gt;"J",ASISTENCIA!Y14&lt;&gt;"V",ASISTENCIA!Y14&lt;&gt;"F",ASISTENCIA!Y14&lt;&gt;""),SUMIF($F$13:$J$13,AE$13,$F15:$J15),"")</f>
        <v/>
      </c>
      <c r="AF15" s="168" t="str">
        <f>IF(AND(LEN($D15)&gt;0,SUMIF($F$13:$J$13,AF$13,$F15:$J15)&gt;0,ASISTENCIA!Z14&lt;&gt;"X",ASISTENCIA!Z14&lt;&gt;"L",ASISTENCIA!Z14&lt;&gt;"J",ASISTENCIA!Z14&lt;&gt;"V",ASISTENCIA!Z14&lt;&gt;"F",ASISTENCIA!Z14&lt;&gt;""),SUMIF($F$13:$J$13,AF$13,$F15:$J15),"")</f>
        <v/>
      </c>
      <c r="AG15" s="168" t="str">
        <f>IF(AND(LEN($D15)&gt;0,SUMIF($F$13:$J$13,AG$13,$F15:$J15)&gt;0,ASISTENCIA!AA14&lt;&gt;"X",ASISTENCIA!AA14&lt;&gt;"L",ASISTENCIA!AA14&lt;&gt;"J",ASISTENCIA!AA14&lt;&gt;"V",ASISTENCIA!AA14&lt;&gt;"F",ASISTENCIA!AA14&lt;&gt;""),SUMIF($F$13:$J$13,AG$13,$F15:$J15),"")</f>
        <v/>
      </c>
      <c r="AH15" s="168" t="str">
        <f>IF(AND(LEN($D15)&gt;0,SUMIF($F$13:$J$13,AH$13,$F15:$J15)&gt;0,ASISTENCIA!AB14&lt;&gt;"X",ASISTENCIA!AB14&lt;&gt;"L",ASISTENCIA!AB14&lt;&gt;"J",ASISTENCIA!AB14&lt;&gt;"V",ASISTENCIA!AB14&lt;&gt;"F",ASISTENCIA!AB14&lt;&gt;""),SUMIF($F$13:$J$13,AH$13,$F15:$J15),"")</f>
        <v/>
      </c>
      <c r="AI15" s="168" t="str">
        <f>IF(AND(LEN($D15)&gt;0,SUMIF($F$13:$J$13,AI$13,$F15:$J15)&gt;0,ASISTENCIA!AC14&lt;&gt;"X",ASISTENCIA!AC14&lt;&gt;"L",ASISTENCIA!AC14&lt;&gt;"J",ASISTENCIA!AC14&lt;&gt;"V",ASISTENCIA!AC14&lt;&gt;"F",ASISTENCIA!AC14&lt;&gt;""),SUMIF($F$13:$J$13,AI$13,$F15:$J15),"")</f>
        <v/>
      </c>
      <c r="AJ15" s="168" t="str">
        <f>IF(AND(LEN($D15)&gt;0,SUMIF($F$13:$J$13,AJ$13,$F15:$J15)&gt;0,ASISTENCIA!AD14&lt;&gt;"X",ASISTENCIA!AD14&lt;&gt;"L",ASISTENCIA!AD14&lt;&gt;"J",ASISTENCIA!AD14&lt;&gt;"V",ASISTENCIA!AD14&lt;&gt;"F",ASISTENCIA!AD14&lt;&gt;""),SUMIF($F$13:$J$13,AJ$13,$F15:$J15),"")</f>
        <v/>
      </c>
      <c r="AK15" s="168" t="str">
        <f>IF(AND(LEN($D15)&gt;0,SUMIF($F$13:$J$13,AK$13,$F15:$J15)&gt;0,ASISTENCIA!AE14&lt;&gt;"X",ASISTENCIA!AE14&lt;&gt;"L",ASISTENCIA!AE14&lt;&gt;"J",ASISTENCIA!AE14&lt;&gt;"V",ASISTENCIA!AE14&lt;&gt;"F",ASISTENCIA!AE14&lt;&gt;""),SUMIF($F$13:$J$13,AK$13,$F15:$J15),"")</f>
        <v/>
      </c>
      <c r="AL15" s="168" t="str">
        <f>IF(AND(LEN($D15)&gt;0,SUMIF($F$13:$J$13,AL$13,$F15:$J15)&gt;0,ASISTENCIA!AF14&lt;&gt;"X",ASISTENCIA!AF14&lt;&gt;"L",ASISTENCIA!AF14&lt;&gt;"J",ASISTENCIA!AF14&lt;&gt;"V",ASISTENCIA!AF14&lt;&gt;"F",ASISTENCIA!AF14&lt;&gt;""),SUMIF($F$13:$J$13,AL$13,$F15:$J15),"")</f>
        <v/>
      </c>
      <c r="AM15" s="168" t="str">
        <f>IF(AND(LEN($D15)&gt;0,SUMIF($F$13:$J$13,AM$13,$F15:$J15)&gt;0,ASISTENCIA!AG14&lt;&gt;"X",ASISTENCIA!AG14&lt;&gt;"L",ASISTENCIA!AG14&lt;&gt;"J",ASISTENCIA!AG14&lt;&gt;"V",ASISTENCIA!AG14&lt;&gt;"F",ASISTENCIA!AG14&lt;&gt;""),SUMIF($F$13:$J$13,AM$13,$F15:$J15),"")</f>
        <v/>
      </c>
      <c r="AN15" s="168" t="str">
        <f>IF(AND(LEN($D15)&gt;0,SUMIF($F$13:$J$13,AN$13,$F15:$J15)&gt;0,ASISTENCIA!AH14&lt;&gt;"X",ASISTENCIA!AH14&lt;&gt;"L",ASISTENCIA!AH14&lt;&gt;"J",ASISTENCIA!AH14&lt;&gt;"V",ASISTENCIA!AH14&lt;&gt;"F",ASISTENCIA!AH14&lt;&gt;""),SUMIF($F$13:$J$13,AN$13,$F15:$J15),"")</f>
        <v/>
      </c>
      <c r="AO15" s="168" t="str">
        <f>IF(AND(LEN($D15)&gt;0,SUMIF($F$13:$J$13,AO$13,$F15:$J15)&gt;0,ASISTENCIA!AI14&lt;&gt;"X",ASISTENCIA!AI14&lt;&gt;"L",ASISTENCIA!AI14&lt;&gt;"J",ASISTENCIA!AI14&lt;&gt;"V",ASISTENCIA!AI14&lt;&gt;"F",ASISTENCIA!AI14&lt;&gt;""),SUMIF($F$13:$J$13,AO$13,$F15:$J15),"")</f>
        <v/>
      </c>
      <c r="AP15" s="168" t="str">
        <f>IF(AND(LEN($D15)&gt;0,SUMIF($F$13:$J$13,AP$13,$F15:$J15)&gt;0,ASISTENCIA!AJ14&lt;&gt;"X",ASISTENCIA!AJ14&lt;&gt;"L",ASISTENCIA!AJ14&lt;&gt;"J",ASISTENCIA!AJ14&lt;&gt;"V",ASISTENCIA!AJ14&lt;&gt;"F",ASISTENCIA!AJ14&lt;&gt;""),SUMIF($F$13:$J$13,AP$13,$F15:$J15),"")</f>
        <v/>
      </c>
      <c r="AQ15" s="168" t="str">
        <f>IF(AND(LEN($D15)&gt;0,SUMIF($F$13:$J$13,AQ$13,$F15:$J15)&gt;0,ASISTENCIA!AK14&lt;&gt;"X",ASISTENCIA!AK14&lt;&gt;"L",ASISTENCIA!AK14&lt;&gt;"J",ASISTENCIA!AK14&lt;&gt;"V",ASISTENCIA!AK14&lt;&gt;"F",ASISTENCIA!AK14&lt;&gt;""),SUMIF($F$13:$J$13,AQ$13,$F15:$J15),"")</f>
        <v/>
      </c>
      <c r="AR15" s="168" t="str">
        <f>IF(AND(LEN($D15)&gt;0,SUMIF($F$13:$J$13,AR$13,$F15:$J15)&gt;0,ASISTENCIA!AL14&lt;&gt;"X",ASISTENCIA!AL14&lt;&gt;"L",ASISTENCIA!AL14&lt;&gt;"J",ASISTENCIA!AL14&lt;&gt;"V",ASISTENCIA!AL14&lt;&gt;"F",ASISTENCIA!AL14&lt;&gt;""),SUMIF($F$13:$J$13,AR$13,$F15:$J15),"")</f>
        <v/>
      </c>
      <c r="AS15" s="168" t="str">
        <f>IF(AND(LEN($D15)&gt;0,SUMIF($F$13:$J$13,AS$13,$F15:$J15)&gt;0,ASISTENCIA!AM14&lt;&gt;"X",ASISTENCIA!AM14&lt;&gt;"L",ASISTENCIA!AM14&lt;&gt;"J",ASISTENCIA!AM14&lt;&gt;"V",ASISTENCIA!AM14&lt;&gt;"F",ASISTENCIA!AM14&lt;&gt;""),SUMIF($F$13:$J$13,AS$13,$F15:$J15),"")</f>
        <v/>
      </c>
      <c r="AT15" s="182" t="str">
        <f t="shared" si="4"/>
        <v/>
      </c>
      <c r="AU15" s="157"/>
      <c r="AV15" s="157"/>
      <c r="AW15" s="157"/>
      <c r="AX15" s="168" t="str">
        <f>IF(AND(LEN($D15)&gt;0,SUMIF($F$13:$J$13,AX$13,$F15:$J15)&gt;0,ASISTENCIA!AU14&lt;&gt;"X",ASISTENCIA!AU14&lt;&gt;"L",ASISTENCIA!AU14&lt;&gt;"J",ASISTENCIA!AU14&lt;&gt;"F"),SUMIF($F$13:$J$13,AX$13,$F15:$J15),"")</f>
        <v/>
      </c>
      <c r="AY15" s="168" t="str">
        <f>IF(AND(LEN($D15)&gt;0,SUMIF($F$13:$J$13,AY$13,$F15:$J15)&gt;0,ASISTENCIA!BE15&lt;&gt;"X",ASISTENCIA!BE15&lt;&gt;"L",ASISTENCIA!BE15&lt;&gt;"J",ASISTENCIA!BE15&lt;&gt;"F"),SUMIF($F$13:$J$13,AY$13,$F15:$J15),"")</f>
        <v/>
      </c>
      <c r="AZ15" s="168" t="str">
        <f>IF(AND(LEN($D15)&gt;0,SUMIF($F$13:$J$13,AZ$13,$F15:$J15)&gt;0,ASISTENCIA!BF14&lt;&gt;"X",ASISTENCIA!BF14&lt;&gt;"L",ASISTENCIA!BF14&lt;&gt;"J",ASISTENCIA!BF14&lt;&gt;"F"),SUMIF($F$13:$J$13,AZ$13,$F15:$J15),"")</f>
        <v/>
      </c>
      <c r="BA15" s="168" t="str">
        <f>IF(AND(LEN($D15)&gt;0,SUMIF($F$13:$J$13,BA$13,$F15:$J15)&gt;0,ASISTENCIA!BG14&lt;&gt;"X",ASISTENCIA!BG14&lt;&gt;"L",ASISTENCIA!BG14&lt;&gt;"J",ASISTENCIA!BG14&lt;&gt;"F"),SUMIF($F$13:$J$13,BA$13,$F15:$J15),"")</f>
        <v/>
      </c>
      <c r="BB15" s="168" t="str">
        <f>IF(AND(LEN($D15)&gt;0,SUMIF($F$13:$J$13,BB$13,$F15:$J15)&gt;0,ASISTENCIA!BH14&lt;&gt;"X",ASISTENCIA!BH14&lt;&gt;"L",ASISTENCIA!BH14&lt;&gt;"J",ASISTENCIA!BH14&lt;&gt;"F"),SUMIF($F$13:$J$13,BB$13,$F15:$J15),"")</f>
        <v/>
      </c>
      <c r="BC15" s="168" t="str">
        <f>IF(AND(LEN($D15)&gt;0,SUMIF($F$13:$J$13,BC$13,$F15:$J15)&gt;0,ASISTENCIA!AZ14&lt;&gt;"X",ASISTENCIA!AZ14&lt;&gt;"L",ASISTENCIA!AZ14&lt;&gt;"J",ASISTENCIA!AZ14&lt;&gt;"F"),SUMIF($F$13:$J$13,BC$13,$F15:$J15),"")</f>
        <v/>
      </c>
      <c r="BD15" s="168" t="str">
        <f>IF(AND(LEN($D15)&gt;0,SUMIF($F$13:$J$13,BD$13,$F15:$J15)&gt;0,ASISTENCIA!BA14&lt;&gt;"X",ASISTENCIA!BA14&lt;&gt;"L",ASISTENCIA!BA14&lt;&gt;"J",ASISTENCIA!BA14&lt;&gt;"F"),SUMIF($F$13:$J$13,BD$13,$F15:$J15),"")</f>
        <v/>
      </c>
      <c r="BE15" s="168" t="str">
        <f>IF(AND(LEN($D15)&gt;0,SUMIF($F$13:$J$13,BE$13,$F15:$J15)&gt;0,ASISTENCIA!BB14&lt;&gt;"X",ASISTENCIA!BB14&lt;&gt;"L",ASISTENCIA!BB14&lt;&gt;"J",ASISTENCIA!BB14&lt;&gt;"F"),SUMIF($F$13:$J$13,BE$13,$F15:$J15),"")</f>
        <v/>
      </c>
      <c r="BF15" s="168" t="str">
        <f>IF(AND(LEN($D15)&gt;0,SUMIF($F$13:$J$13,BF$13,$F15:$J15)&gt;0,ASISTENCIA!#REF!&lt;&gt;"X",ASISTENCIA!#REF!&lt;&gt;"L",ASISTENCIA!#REF!&lt;&gt;"J",ASISTENCIA!#REF!&lt;&gt;"F"),SUMIF($F$13:$J$13,BF$13,$F15:$J15),"")</f>
        <v>#ERROR!</v>
      </c>
      <c r="BG15" s="168" t="str">
        <f>IF(AND(LEN($D15)&gt;0,SUMIF($F$13:$J$13,BG$13,$F15:$J15)&gt;0,ASISTENCIA!#REF!&lt;&gt;"X",ASISTENCIA!#REF!&lt;&gt;"L",ASISTENCIA!#REF!&lt;&gt;"J",ASISTENCIA!#REF!&lt;&gt;"F"),SUMIF($F$13:$J$13,BG$13,$F15:$J15),"")</f>
        <v>#ERROR!</v>
      </c>
      <c r="BH15" s="168" t="str">
        <f>IF(AND(LEN($D15)&gt;0,SUMIF($F$13:$J$13,BH$13,$F15:$J15)&gt;0,ASISTENCIA!#REF!&lt;&gt;"X",ASISTENCIA!#REF!&lt;&gt;"L",ASISTENCIA!#REF!&lt;&gt;"J",ASISTENCIA!#REF!&lt;&gt;"F"),SUMIF($F$13:$J$13,BH$13,$F15:$J15),"")</f>
        <v>#ERROR!</v>
      </c>
      <c r="BI15" s="168" t="str">
        <f>IF(AND(LEN($D15)&gt;0,SUMIF($F$13:$J$13,BI$13,$F15:$J15)&gt;0,ASISTENCIA!#REF!&lt;&gt;"X",ASISTENCIA!#REF!&lt;&gt;"L",ASISTENCIA!#REF!&lt;&gt;"J",ASISTENCIA!#REF!&lt;&gt;"F"),SUMIF($F$13:$J$13,BI$13,$F15:$J15),"")</f>
        <v>#ERROR!</v>
      </c>
      <c r="BJ15" s="168" t="str">
        <f>IF(AND(LEN($D15)&gt;0,SUMIF($F$13:$J$13,BJ$13,$F15:$J15)&gt;0,ASISTENCIA!#REF!&lt;&gt;"X",ASISTENCIA!#REF!&lt;&gt;"L",ASISTENCIA!#REF!&lt;&gt;"J",ASISTENCIA!#REF!&lt;&gt;"F"),SUMIF($F$13:$J$13,BJ$13,$F15:$J15),"")</f>
        <v>#ERROR!</v>
      </c>
      <c r="BK15" s="168" t="str">
        <f>IF(AND(LEN($D15)&gt;0,SUMIF($F$13:$J$13,BK$13,$F15:$J15)&gt;0,ASISTENCIA!#REF!&lt;&gt;"X",ASISTENCIA!#REF!&lt;&gt;"L",ASISTENCIA!#REF!&lt;&gt;"J",ASISTENCIA!#REF!&lt;&gt;"F"),SUMIF($F$13:$J$13,BK$13,$F15:$J15),"")</f>
        <v>#ERROR!</v>
      </c>
      <c r="BL15" s="168" t="str">
        <f>IF(AND(LEN($D15)&gt;0,SUMIF($F$13:$J$13,BL$13,$F15:$J15)&gt;0,ASISTENCIA!BI14&lt;&gt;"X",ASISTENCIA!BI14&lt;&gt;"L",ASISTENCIA!BI14&lt;&gt;"J",ASISTENCIA!BI14&lt;&gt;"F"),SUMIF($F$13:$J$13,BL$13,$F15:$J15),"")</f>
        <v/>
      </c>
      <c r="BM15" s="168" t="str">
        <f>IF(AND(LEN($D15)&gt;0,SUMIF($F$13:$J$13,BM$13,$F15:$J15)&gt;0,ASISTENCIA!BJ14&lt;&gt;"X",ASISTENCIA!BJ14&lt;&gt;"L",ASISTENCIA!BJ14&lt;&gt;"J",ASISTENCIA!BJ14&lt;&gt;"F"),SUMIF($F$13:$J$13,BM$13,$F15:$J15),"")</f>
        <v/>
      </c>
      <c r="BN15" s="168" t="str">
        <f>IF(AND(LEN($D15)&gt;0,SUMIF($F$13:$J$13,BN$13,$F15:$J15)&gt;0,ASISTENCIA!BK14&lt;&gt;"X",ASISTENCIA!BK14&lt;&gt;"L",ASISTENCIA!BK14&lt;&gt;"J",ASISTENCIA!BK14&lt;&gt;"F"),SUMIF($F$13:$J$13,BN$13,$F15:$J15),"")</f>
        <v/>
      </c>
      <c r="BO15" s="168" t="str">
        <f>IF(AND(LEN($D15)&gt;0,SUMIF($F$13:$J$13,BO$13,$F15:$J15)&gt;0,ASISTENCIA!BL14&lt;&gt;"X",ASISTENCIA!BL14&lt;&gt;"L",ASISTENCIA!BL14&lt;&gt;"J",ASISTENCIA!BL14&lt;&gt;"F"),SUMIF($F$13:$J$13,BO$13,$F15:$J15),"")</f>
        <v/>
      </c>
      <c r="BP15" s="168" t="str">
        <f>IF(AND(LEN($D15)&gt;0,SUMIF($F$13:$J$13,BP$13,$F15:$J15)&gt;0,ASISTENCIA!BM14&lt;&gt;"X",ASISTENCIA!BM14&lt;&gt;"L",ASISTENCIA!BM14&lt;&gt;"J",ASISTENCIA!BM14&lt;&gt;"F"),SUMIF($F$13:$J$13,BP$13,$F15:$J15),"")</f>
        <v/>
      </c>
      <c r="BQ15" s="168" t="str">
        <f>IF(AND(LEN($D15)&gt;0,SUMIF($F$13:$J$13,BQ$13,$F15:$J15)&gt;0,ASISTENCIA!BN14&lt;&gt;"X",ASISTENCIA!BN14&lt;&gt;"L",ASISTENCIA!BN14&lt;&gt;"J",ASISTENCIA!BN14&lt;&gt;"F"),SUMIF($F$13:$J$13,BQ$13,$F15:$J15),"")</f>
        <v/>
      </c>
      <c r="BR15" s="168" t="str">
        <f>IF(AND(LEN($D15)&gt;0,SUMIF($F$13:$J$13,BR$13,$F15:$J15)&gt;0,ASISTENCIA!BO14&lt;&gt;"X",ASISTENCIA!BO14&lt;&gt;"L",ASISTENCIA!BO14&lt;&gt;"J",ASISTENCIA!BO14&lt;&gt;"F"),SUMIF($F$13:$J$13,BR$13,$F15:$J15),"")</f>
        <v/>
      </c>
      <c r="BS15" s="168" t="str">
        <f>IF(AND(LEN($D15)&gt;0,SUMIF($F$13:$J$13,BS$13,$F15:$J15)&gt;0,ASISTENCIA!BP14&lt;&gt;"X",ASISTENCIA!BP14&lt;&gt;"L",ASISTENCIA!BP14&lt;&gt;"J",ASISTENCIA!BP14&lt;&gt;"F"),SUMIF($F$13:$J$13,BS$13,$F15:$J15),"")</f>
        <v/>
      </c>
      <c r="BT15" s="168" t="str">
        <f>IF(AND(LEN($D15)&gt;0,SUMIF($F$13:$J$13,BT$13,$F15:$J15)&gt;0,ASISTENCIA!BQ14&lt;&gt;"X",ASISTENCIA!BQ14&lt;&gt;"L",ASISTENCIA!BQ14&lt;&gt;"J",ASISTENCIA!BQ14&lt;&gt;"F"),SUMIF($F$13:$J$13,BT$13,$F15:$J15),"")</f>
        <v/>
      </c>
      <c r="BU15" s="168" t="str">
        <f>IF(AND(LEN($D15)&gt;0,SUMIF($F$13:$J$13,BU$13,$F15:$J15)&gt;0,ASISTENCIA!BR14&lt;&gt;"X",ASISTENCIA!BR14&lt;&gt;"L",ASISTENCIA!BR14&lt;&gt;"J",ASISTENCIA!BR14&lt;&gt;"F"),SUMIF($F$13:$J$13,BU$13,$F15:$J15),"")</f>
        <v/>
      </c>
      <c r="BV15" s="168" t="str">
        <f>IF(AND(LEN($D15)&gt;0,SUMIF($F$13:$J$13,BV$13,$F15:$J15)&gt;0,ASISTENCIA!BS14&lt;&gt;"X",ASISTENCIA!BS14&lt;&gt;"L",ASISTENCIA!BS14&lt;&gt;"J",ASISTENCIA!BS14&lt;&gt;"F"),SUMIF($F$13:$J$13,BV$13,$F15:$J15),"")</f>
        <v/>
      </c>
      <c r="BW15" s="168" t="str">
        <f>IF(AND(LEN($D15)&gt;0,SUMIF($F$13:$J$13,BW$13,$F15:$J15)&gt;0,ASISTENCIA!BT14&lt;&gt;"X",ASISTENCIA!BT14&lt;&gt;"L",ASISTENCIA!BT14&lt;&gt;"J",ASISTENCIA!BT14&lt;&gt;"F"),SUMIF($F$13:$J$13,BW$13,$F15:$J15),"")</f>
        <v/>
      </c>
      <c r="BX15" s="168" t="str">
        <f>IF(AND(LEN($D15)&gt;0,SUMIF($F$13:$J$13,BX$13,$F15:$J15)&gt;0,ASISTENCIA!BU14&lt;&gt;"X",ASISTENCIA!BU14&lt;&gt;"L",ASISTENCIA!BU14&lt;&gt;"J",ASISTENCIA!BU14&lt;&gt;"F"),SUMIF($F$13:$J$13,BX$13,$F15:$J15),"")</f>
        <v/>
      </c>
      <c r="BY15" s="168" t="str">
        <f>IF(AND(LEN($D15)&gt;0,SUMIF($F$13:$J$13,BY$13,$F15:$J15)&gt;0,ASISTENCIA!BV14&lt;&gt;"X",ASISTENCIA!BV14&lt;&gt;"L",ASISTENCIA!BV14&lt;&gt;"J",ASISTENCIA!BV14&lt;&gt;"F"),SUMIF($F$13:$J$13,BY$13,$F15:$J15),"")</f>
        <v/>
      </c>
      <c r="BZ15" s="168" t="str">
        <f>IF(AND(LEN($D15)&gt;0,SUMIF($F$13:$J$13,BZ$13,$F15:$J15)&gt;0,ASISTENCIA!BW14&lt;&gt;"X",ASISTENCIA!BW14&lt;&gt;"L",ASISTENCIA!BW14&lt;&gt;"J",ASISTENCIA!BW14&lt;&gt;"F"),SUMIF($F$13:$J$13,BZ$13,$F15:$J15),"")</f>
        <v/>
      </c>
      <c r="CA15" s="168" t="str">
        <f>IF(AND(LEN($D15)&gt;0,SUMIF($F$13:$J$13,CA$13,$F15:$J15)&gt;0,ASISTENCIA!BX14&lt;&gt;"X",ASISTENCIA!BX14&lt;&gt;"L",ASISTENCIA!BX14&lt;&gt;"J",ASISTENCIA!BX14&lt;&gt;"F"),SUMIF($F$13:$J$13,CA$13,$F15:$J15),"")</f>
        <v/>
      </c>
      <c r="CB15" s="168" t="str">
        <f>IF(AND(LEN($D15)&gt;0,SUMIF($F$13:$J$13,CB$13,$F15:$J15)&gt;0,ASISTENCIA!BY14&lt;&gt;"X",ASISTENCIA!BY14&lt;&gt;"L",ASISTENCIA!BY14&lt;&gt;"J",ASISTENCIA!BY14&lt;&gt;"F"),SUMIF($F$13:$J$13,CB$13,$F15:$J15),"")</f>
        <v/>
      </c>
      <c r="CC15" s="182" t="str">
        <f t="shared" si="5"/>
        <v>#ERROR!</v>
      </c>
      <c r="CD15" s="157"/>
    </row>
    <row r="16" ht="12.75" customHeight="1">
      <c r="A16" s="132" t="str">
        <f t="shared" si="6"/>
        <v/>
      </c>
      <c r="B16" s="183" t="str">
        <f>IF(LEN(C16)&gt;0,VLOOKUP($O$4,DATA!$A$1:$S$1,2,FALSE),"")</f>
        <v/>
      </c>
      <c r="C16" s="184" t="str">
        <f t="shared" si="1"/>
        <v/>
      </c>
      <c r="D16" s="136" t="str">
        <f>IF(LEN(ASISTENCIA!E15)&gt;0,ASISTENCIA!E15,"")</f>
        <v/>
      </c>
      <c r="E16" s="167" t="str">
        <f>IF(LEN(D16)&gt;0,ASISTENCIA!F15,"")</f>
        <v/>
      </c>
      <c r="F16" s="180"/>
      <c r="G16" s="180"/>
      <c r="H16" s="180"/>
      <c r="I16" s="180"/>
      <c r="J16" s="180"/>
      <c r="K16" s="168" t="str">
        <f t="shared" si="2"/>
        <v/>
      </c>
      <c r="L16" s="185"/>
      <c r="M16" s="168"/>
      <c r="N16" s="168" t="str">
        <f t="shared" si="3"/>
        <v>#ERROR!</v>
      </c>
      <c r="O16" s="168" t="str">
        <f>IF(AND(LEN($D16)&gt;0,SUMIF($F$13:$J$13,O$13,$F16:$J16)&gt;0,ASISTENCIA!I15&lt;&gt;"X",ASISTENCIA!I15&lt;&gt;"L",ASISTENCIA!I15&lt;&gt;"J",ASISTENCIA!I15&lt;&gt;"V",ASISTENCIA!I15&lt;&gt;"F",ASISTENCIA!I15&lt;&gt;""),SUMIF($F$13:$J$13,O$13,$F16:$J16),"")</f>
        <v/>
      </c>
      <c r="P16" s="168" t="str">
        <f>IF(AND(LEN($D16)&gt;0,SUMIF($F$13:$J$13,P$13,$F16:$J16)&gt;0,ASISTENCIA!J15&lt;&gt;"X",ASISTENCIA!J15&lt;&gt;"L",ASISTENCIA!J15&lt;&gt;"J",ASISTENCIA!J15&lt;&gt;"V",ASISTENCIA!J15&lt;&gt;"F",ASISTENCIA!J15&lt;&gt;""),SUMIF($F$13:$J$13,P$13,$F16:$J16),"")</f>
        <v/>
      </c>
      <c r="Q16" s="168" t="str">
        <f>IF(AND(LEN($D16)&gt;0,SUMIF($F$13:$J$13,Q$13,$F16:$J16)&gt;0,ASISTENCIA!K15&lt;&gt;"X",ASISTENCIA!K15&lt;&gt;"L",ASISTENCIA!K15&lt;&gt;"J",ASISTENCIA!K15&lt;&gt;"V",ASISTENCIA!K15&lt;&gt;"F",ASISTENCIA!K15&lt;&gt;""),SUMIF($F$13:$J$13,Q$13,$F16:$J16),"")</f>
        <v/>
      </c>
      <c r="R16" s="168" t="str">
        <f>IF(AND(LEN($D16)&gt;0,SUMIF($F$13:$J$13,R$13,$F16:$J16)&gt;0,ASISTENCIA!L15&lt;&gt;"X",ASISTENCIA!L15&lt;&gt;"L",ASISTENCIA!L15&lt;&gt;"J",ASISTENCIA!L15&lt;&gt;"V",ASISTENCIA!L15&lt;&gt;"F",ASISTENCIA!L15&lt;&gt;""),SUMIF($F$13:$J$13,R$13,$F16:$J16),"")</f>
        <v/>
      </c>
      <c r="S16" s="168" t="str">
        <f>IF(AND(LEN($D16)&gt;0,SUMIF($F$13:$J$13,S$13,$F16:$J16)&gt;0,ASISTENCIA!M15&lt;&gt;"X",ASISTENCIA!M15&lt;&gt;"L",ASISTENCIA!M15&lt;&gt;"J",ASISTENCIA!M15&lt;&gt;"V",ASISTENCIA!M15&lt;&gt;"F",ASISTENCIA!M15&lt;&gt;""),SUMIF($F$13:$J$13,S$13,$F16:$J16),"")</f>
        <v/>
      </c>
      <c r="T16" s="168" t="str">
        <f>IF(AND(LEN($D16)&gt;0,SUMIF($F$13:$J$13,T$13,$F16:$J16)&gt;0,ASISTENCIA!N15&lt;&gt;"X",ASISTENCIA!N15&lt;&gt;"L",ASISTENCIA!N15&lt;&gt;"J",ASISTENCIA!N15&lt;&gt;"V",ASISTENCIA!N15&lt;&gt;"F",ASISTENCIA!N15&lt;&gt;""),SUMIF($F$13:$J$13,T$13,$F16:$J16),"")</f>
        <v/>
      </c>
      <c r="U16" s="168" t="str">
        <f>IF(AND(LEN($D16)&gt;0,SUMIF($F$13:$J$13,U$13,$F16:$J16)&gt;0,ASISTENCIA!O15&lt;&gt;"X",ASISTENCIA!O15&lt;&gt;"L",ASISTENCIA!O15&lt;&gt;"J",ASISTENCIA!O15&lt;&gt;"V",ASISTENCIA!O15&lt;&gt;"F",ASISTENCIA!O15&lt;&gt;""),SUMIF($F$13:$J$13,U$13,$F16:$J16),"")</f>
        <v/>
      </c>
      <c r="V16" s="168" t="str">
        <f>IF(AND(LEN($D16)&gt;0,SUMIF($F$13:$J$13,V$13,$F16:$J16)&gt;0,ASISTENCIA!P15&lt;&gt;"X",ASISTENCIA!P15&lt;&gt;"L",ASISTENCIA!P15&lt;&gt;"J",ASISTENCIA!P15&lt;&gt;"V",ASISTENCIA!P15&lt;&gt;"F",ASISTENCIA!P15&lt;&gt;""),SUMIF($F$13:$J$13,V$13,$F16:$J16),"")</f>
        <v/>
      </c>
      <c r="W16" s="168" t="str">
        <f>IF(AND(LEN($D16)&gt;0,SUMIF($F$13:$J$13,W$13,$F16:$J16)&gt;0,ASISTENCIA!Q15&lt;&gt;"X",ASISTENCIA!Q15&lt;&gt;"L",ASISTENCIA!Q15&lt;&gt;"J",ASISTENCIA!Q15&lt;&gt;"V",ASISTENCIA!Q15&lt;&gt;"F",ASISTENCIA!Q15&lt;&gt;""),SUMIF($F$13:$J$13,W$13,$F16:$J16),"")</f>
        <v/>
      </c>
      <c r="X16" s="168" t="str">
        <f>IF(AND(LEN($D16)&gt;0,SUMIF($F$13:$J$13,X$13,$F16:$J16)&gt;0,ASISTENCIA!R15&lt;&gt;"X",ASISTENCIA!R15&lt;&gt;"L",ASISTENCIA!R15&lt;&gt;"J",ASISTENCIA!R15&lt;&gt;"V",ASISTENCIA!R15&lt;&gt;"F",ASISTENCIA!R15&lt;&gt;""),SUMIF($F$13:$J$13,X$13,$F16:$J16),"")</f>
        <v/>
      </c>
      <c r="Y16" s="168" t="str">
        <f>IF(AND(LEN($D16)&gt;0,SUMIF($F$13:$J$13,Y$13,$F16:$J16)&gt;0,ASISTENCIA!S15&lt;&gt;"X",ASISTENCIA!S15&lt;&gt;"L",ASISTENCIA!S15&lt;&gt;"J",ASISTENCIA!S15&lt;&gt;"V",ASISTENCIA!S15&lt;&gt;"F",ASISTENCIA!S15&lt;&gt;""),SUMIF($F$13:$J$13,Y$13,$F16:$J16),"")</f>
        <v/>
      </c>
      <c r="Z16" s="168" t="str">
        <f>IF(AND(LEN($D16)&gt;0,SUMIF($F$13:$J$13,Z$13,$F16:$J16)&gt;0,ASISTENCIA!T15&lt;&gt;"X",ASISTENCIA!T15&lt;&gt;"L",ASISTENCIA!T15&lt;&gt;"J",ASISTENCIA!T15&lt;&gt;"V",ASISTENCIA!T15&lt;&gt;"F",ASISTENCIA!T15&lt;&gt;""),SUMIF($F$13:$J$13,Z$13,$F16:$J16),"")</f>
        <v/>
      </c>
      <c r="AA16" s="168" t="str">
        <f>IF(AND(LEN($D16)&gt;0,SUMIF($F$13:$J$13,AA$13,$F16:$J16)&gt;0,ASISTENCIA!U15&lt;&gt;"X",ASISTENCIA!U15&lt;&gt;"L",ASISTENCIA!U15&lt;&gt;"J",ASISTENCIA!U15&lt;&gt;"V",ASISTENCIA!U15&lt;&gt;"F",ASISTENCIA!U15&lt;&gt;""),SUMIF($F$13:$J$13,AA$13,$F16:$J16),"")</f>
        <v/>
      </c>
      <c r="AB16" s="168" t="str">
        <f>IF(AND(LEN($D16)&gt;0,SUMIF($F$13:$J$13,AB$13,$F16:$J16)&gt;0,ASISTENCIA!V15&lt;&gt;"X",ASISTENCIA!V15&lt;&gt;"L",ASISTENCIA!V15&lt;&gt;"J",ASISTENCIA!V15&lt;&gt;"V",ASISTENCIA!V15&lt;&gt;"F",ASISTENCIA!V15&lt;&gt;""),SUMIF($F$13:$J$13,AB$13,$F16:$J16),"")</f>
        <v/>
      </c>
      <c r="AC16" s="168" t="str">
        <f>IF(AND(LEN($D16)&gt;0,SUMIF($F$13:$J$13,AC$13,$F16:$J16)&gt;0,ASISTENCIA!W15&lt;&gt;"X",ASISTENCIA!W15&lt;&gt;"L",ASISTENCIA!W15&lt;&gt;"J",ASISTENCIA!W15&lt;&gt;"V",ASISTENCIA!W15&lt;&gt;"F",ASISTENCIA!W15&lt;&gt;""),SUMIF($F$13:$J$13,AC$13,$F16:$J16),"")</f>
        <v/>
      </c>
      <c r="AD16" s="168" t="str">
        <f>IF(AND(LEN($D16)&gt;0,SUMIF($F$13:$J$13,AD$13,$F16:$J16)&gt;0,ASISTENCIA!X15&lt;&gt;"X",ASISTENCIA!X15&lt;&gt;"L",ASISTENCIA!X15&lt;&gt;"J",ASISTENCIA!X15&lt;&gt;"V",ASISTENCIA!X15&lt;&gt;"F",ASISTENCIA!X15&lt;&gt;""),SUMIF($F$13:$J$13,AD$13,$F16:$J16),"")</f>
        <v/>
      </c>
      <c r="AE16" s="168" t="str">
        <f>IF(AND(LEN($D16)&gt;0,SUMIF($F$13:$J$13,AE$13,$F16:$J16)&gt;0,ASISTENCIA!Y15&lt;&gt;"X",ASISTENCIA!Y15&lt;&gt;"L",ASISTENCIA!Y15&lt;&gt;"J",ASISTENCIA!Y15&lt;&gt;"V",ASISTENCIA!Y15&lt;&gt;"F",ASISTENCIA!Y15&lt;&gt;""),SUMIF($F$13:$J$13,AE$13,$F16:$J16),"")</f>
        <v/>
      </c>
      <c r="AF16" s="168" t="str">
        <f>IF(AND(LEN($D16)&gt;0,SUMIF($F$13:$J$13,AF$13,$F16:$J16)&gt;0,ASISTENCIA!Z15&lt;&gt;"X",ASISTENCIA!Z15&lt;&gt;"L",ASISTENCIA!Z15&lt;&gt;"J",ASISTENCIA!Z15&lt;&gt;"V",ASISTENCIA!Z15&lt;&gt;"F",ASISTENCIA!Z15&lt;&gt;""),SUMIF($F$13:$J$13,AF$13,$F16:$J16),"")</f>
        <v/>
      </c>
      <c r="AG16" s="168" t="str">
        <f>IF(AND(LEN($D16)&gt;0,SUMIF($F$13:$J$13,AG$13,$F16:$J16)&gt;0,ASISTENCIA!AA15&lt;&gt;"X",ASISTENCIA!AA15&lt;&gt;"L",ASISTENCIA!AA15&lt;&gt;"J",ASISTENCIA!AA15&lt;&gt;"V",ASISTENCIA!AA15&lt;&gt;"F",ASISTENCIA!AA15&lt;&gt;""),SUMIF($F$13:$J$13,AG$13,$F16:$J16),"")</f>
        <v/>
      </c>
      <c r="AH16" s="168" t="str">
        <f>IF(AND(LEN($D16)&gt;0,SUMIF($F$13:$J$13,AH$13,$F16:$J16)&gt;0,ASISTENCIA!AB15&lt;&gt;"X",ASISTENCIA!AB15&lt;&gt;"L",ASISTENCIA!AB15&lt;&gt;"J",ASISTENCIA!AB15&lt;&gt;"V",ASISTENCIA!AB15&lt;&gt;"F",ASISTENCIA!AB15&lt;&gt;""),SUMIF($F$13:$J$13,AH$13,$F16:$J16),"")</f>
        <v/>
      </c>
      <c r="AI16" s="168" t="str">
        <f>IF(AND(LEN($D16)&gt;0,SUMIF($F$13:$J$13,AI$13,$F16:$J16)&gt;0,ASISTENCIA!AC15&lt;&gt;"X",ASISTENCIA!AC15&lt;&gt;"L",ASISTENCIA!AC15&lt;&gt;"J",ASISTENCIA!AC15&lt;&gt;"V",ASISTENCIA!AC15&lt;&gt;"F",ASISTENCIA!AC15&lt;&gt;""),SUMIF($F$13:$J$13,AI$13,$F16:$J16),"")</f>
        <v/>
      </c>
      <c r="AJ16" s="168" t="str">
        <f>IF(AND(LEN($D16)&gt;0,SUMIF($F$13:$J$13,AJ$13,$F16:$J16)&gt;0,ASISTENCIA!AD15&lt;&gt;"X",ASISTENCIA!AD15&lt;&gt;"L",ASISTENCIA!AD15&lt;&gt;"J",ASISTENCIA!AD15&lt;&gt;"V",ASISTENCIA!AD15&lt;&gt;"F",ASISTENCIA!AD15&lt;&gt;""),SUMIF($F$13:$J$13,AJ$13,$F16:$J16),"")</f>
        <v/>
      </c>
      <c r="AK16" s="168" t="str">
        <f>IF(AND(LEN($D16)&gt;0,SUMIF($F$13:$J$13,AK$13,$F16:$J16)&gt;0,ASISTENCIA!AE15&lt;&gt;"X",ASISTENCIA!AE15&lt;&gt;"L",ASISTENCIA!AE15&lt;&gt;"J",ASISTENCIA!AE15&lt;&gt;"V",ASISTENCIA!AE15&lt;&gt;"F",ASISTENCIA!AE15&lt;&gt;""),SUMIF($F$13:$J$13,AK$13,$F16:$J16),"")</f>
        <v/>
      </c>
      <c r="AL16" s="168" t="str">
        <f>IF(AND(LEN($D16)&gt;0,SUMIF($F$13:$J$13,AL$13,$F16:$J16)&gt;0,ASISTENCIA!AF15&lt;&gt;"X",ASISTENCIA!AF15&lt;&gt;"L",ASISTENCIA!AF15&lt;&gt;"J",ASISTENCIA!AF15&lt;&gt;"V",ASISTENCIA!AF15&lt;&gt;"F",ASISTENCIA!AF15&lt;&gt;""),SUMIF($F$13:$J$13,AL$13,$F16:$J16),"")</f>
        <v/>
      </c>
      <c r="AM16" s="168" t="str">
        <f>IF(AND(LEN($D16)&gt;0,SUMIF($F$13:$J$13,AM$13,$F16:$J16)&gt;0,ASISTENCIA!AG15&lt;&gt;"X",ASISTENCIA!AG15&lt;&gt;"L",ASISTENCIA!AG15&lt;&gt;"J",ASISTENCIA!AG15&lt;&gt;"V",ASISTENCIA!AG15&lt;&gt;"F",ASISTENCIA!AG15&lt;&gt;""),SUMIF($F$13:$J$13,AM$13,$F16:$J16),"")</f>
        <v/>
      </c>
      <c r="AN16" s="168" t="str">
        <f>IF(AND(LEN($D16)&gt;0,SUMIF($F$13:$J$13,AN$13,$F16:$J16)&gt;0,ASISTENCIA!AH15&lt;&gt;"X",ASISTENCIA!AH15&lt;&gt;"L",ASISTENCIA!AH15&lt;&gt;"J",ASISTENCIA!AH15&lt;&gt;"V",ASISTENCIA!AH15&lt;&gt;"F",ASISTENCIA!AH15&lt;&gt;""),SUMIF($F$13:$J$13,AN$13,$F16:$J16),"")</f>
        <v/>
      </c>
      <c r="AO16" s="168" t="str">
        <f>IF(AND(LEN($D16)&gt;0,SUMIF($F$13:$J$13,AO$13,$F16:$J16)&gt;0,ASISTENCIA!AI15&lt;&gt;"X",ASISTENCIA!AI15&lt;&gt;"L",ASISTENCIA!AI15&lt;&gt;"J",ASISTENCIA!AI15&lt;&gt;"V",ASISTENCIA!AI15&lt;&gt;"F",ASISTENCIA!AI15&lt;&gt;""),SUMIF($F$13:$J$13,AO$13,$F16:$J16),"")</f>
        <v/>
      </c>
      <c r="AP16" s="168" t="str">
        <f>IF(AND(LEN($D16)&gt;0,SUMIF($F$13:$J$13,AP$13,$F16:$J16)&gt;0,ASISTENCIA!AJ15&lt;&gt;"X",ASISTENCIA!AJ15&lt;&gt;"L",ASISTENCIA!AJ15&lt;&gt;"J",ASISTENCIA!AJ15&lt;&gt;"V",ASISTENCIA!AJ15&lt;&gt;"F",ASISTENCIA!AJ15&lt;&gt;""),SUMIF($F$13:$J$13,AP$13,$F16:$J16),"")</f>
        <v/>
      </c>
      <c r="AQ16" s="168" t="str">
        <f>IF(AND(LEN($D16)&gt;0,SUMIF($F$13:$J$13,AQ$13,$F16:$J16)&gt;0,ASISTENCIA!AK15&lt;&gt;"X",ASISTENCIA!AK15&lt;&gt;"L",ASISTENCIA!AK15&lt;&gt;"J",ASISTENCIA!AK15&lt;&gt;"V",ASISTENCIA!AK15&lt;&gt;"F",ASISTENCIA!AK15&lt;&gt;""),SUMIF($F$13:$J$13,AQ$13,$F16:$J16),"")</f>
        <v/>
      </c>
      <c r="AR16" s="168" t="str">
        <f>IF(AND(LEN($D16)&gt;0,SUMIF($F$13:$J$13,AR$13,$F16:$J16)&gt;0,ASISTENCIA!AL15&lt;&gt;"X",ASISTENCIA!AL15&lt;&gt;"L",ASISTENCIA!AL15&lt;&gt;"J",ASISTENCIA!AL15&lt;&gt;"V",ASISTENCIA!AL15&lt;&gt;"F",ASISTENCIA!AL15&lt;&gt;""),SUMIF($F$13:$J$13,AR$13,$F16:$J16),"")</f>
        <v/>
      </c>
      <c r="AS16" s="168" t="str">
        <f>IF(AND(LEN($D16)&gt;0,SUMIF($F$13:$J$13,AS$13,$F16:$J16)&gt;0,ASISTENCIA!AM15&lt;&gt;"X",ASISTENCIA!AM15&lt;&gt;"L",ASISTENCIA!AM15&lt;&gt;"J",ASISTENCIA!AM15&lt;&gt;"V",ASISTENCIA!AM15&lt;&gt;"F",ASISTENCIA!AM15&lt;&gt;""),SUMIF($F$13:$J$13,AS$13,$F16:$J16),"")</f>
        <v/>
      </c>
      <c r="AT16" s="182" t="str">
        <f t="shared" si="4"/>
        <v/>
      </c>
      <c r="AU16" s="157"/>
      <c r="AV16" s="157"/>
      <c r="AW16" s="157"/>
      <c r="AX16" s="168" t="str">
        <f>IF(AND(LEN($D16)&gt;0,SUMIF($F$13:$J$13,AX$13,$F16:$J16)&gt;0,ASISTENCIA!AU15&lt;&gt;"X",ASISTENCIA!AU15&lt;&gt;"L",ASISTENCIA!AU15&lt;&gt;"J",ASISTENCIA!AU15&lt;&gt;"F"),SUMIF($F$13:$J$13,AX$13,$F16:$J16),"")</f>
        <v/>
      </c>
      <c r="AY16" s="168" t="str">
        <f>IF(AND(LEN($D16)&gt;0,SUMIF($F$13:$J$13,AY$13,$F16:$J16)&gt;0,ASISTENCIA!#REF!&lt;&gt;"X",ASISTENCIA!#REF!&lt;&gt;"L",ASISTENCIA!#REF!&lt;&gt;"J",ASISTENCIA!#REF!&lt;&gt;"F"),SUMIF($F$13:$J$13,AY$13,$F16:$J16),"")</f>
        <v>#ERROR!</v>
      </c>
      <c r="AZ16" s="168" t="str">
        <f>IF(AND(LEN($D16)&gt;0,SUMIF($F$13:$J$13,AZ$13,$F16:$J16)&gt;0,ASISTENCIA!BF15&lt;&gt;"X",ASISTENCIA!BF15&lt;&gt;"L",ASISTENCIA!BF15&lt;&gt;"J",ASISTENCIA!BF15&lt;&gt;"F"),SUMIF($F$13:$J$13,AZ$13,$F16:$J16),"")</f>
        <v/>
      </c>
      <c r="BA16" s="168" t="str">
        <f>IF(AND(LEN($D16)&gt;0,SUMIF($F$13:$J$13,BA$13,$F16:$J16)&gt;0,ASISTENCIA!BG15&lt;&gt;"X",ASISTENCIA!BG15&lt;&gt;"L",ASISTENCIA!BG15&lt;&gt;"J",ASISTENCIA!BG15&lt;&gt;"F"),SUMIF($F$13:$J$13,BA$13,$F16:$J16),"")</f>
        <v/>
      </c>
      <c r="BB16" s="168" t="str">
        <f>IF(AND(LEN($D16)&gt;0,SUMIF($F$13:$J$13,BB$13,$F16:$J16)&gt;0,ASISTENCIA!BH15&lt;&gt;"X",ASISTENCIA!BH15&lt;&gt;"L",ASISTENCIA!BH15&lt;&gt;"J",ASISTENCIA!BH15&lt;&gt;"F"),SUMIF($F$13:$J$13,BB$13,$F16:$J16),"")</f>
        <v/>
      </c>
      <c r="BC16" s="168" t="str">
        <f>IF(AND(LEN($D16)&gt;0,SUMIF($F$13:$J$13,BC$13,$F16:$J16)&gt;0,ASISTENCIA!AZ15&lt;&gt;"X",ASISTENCIA!AZ15&lt;&gt;"L",ASISTENCIA!AZ15&lt;&gt;"J",ASISTENCIA!AZ15&lt;&gt;"F"),SUMIF($F$13:$J$13,BC$13,$F16:$J16),"")</f>
        <v/>
      </c>
      <c r="BD16" s="168" t="str">
        <f>IF(AND(LEN($D16)&gt;0,SUMIF($F$13:$J$13,BD$13,$F16:$J16)&gt;0,ASISTENCIA!BA15&lt;&gt;"X",ASISTENCIA!BA15&lt;&gt;"L",ASISTENCIA!BA15&lt;&gt;"J",ASISTENCIA!BA15&lt;&gt;"F"),SUMIF($F$13:$J$13,BD$13,$F16:$J16),"")</f>
        <v/>
      </c>
      <c r="BE16" s="168" t="str">
        <f>IF(AND(LEN($D16)&gt;0,SUMIF($F$13:$J$13,BE$13,$F16:$J16)&gt;0,ASISTENCIA!BB15&lt;&gt;"X",ASISTENCIA!BB15&lt;&gt;"L",ASISTENCIA!BB15&lt;&gt;"J",ASISTENCIA!BB15&lt;&gt;"F"),SUMIF($F$13:$J$13,BE$13,$F16:$J16),"")</f>
        <v/>
      </c>
      <c r="BF16" s="168" t="str">
        <f>IF(AND(LEN($D16)&gt;0,SUMIF($F$13:$J$13,BF$13,$F16:$J16)&gt;0,ASISTENCIA!#REF!&lt;&gt;"X",ASISTENCIA!#REF!&lt;&gt;"L",ASISTENCIA!#REF!&lt;&gt;"J",ASISTENCIA!#REF!&lt;&gt;"F"),SUMIF($F$13:$J$13,BF$13,$F16:$J16),"")</f>
        <v>#ERROR!</v>
      </c>
      <c r="BG16" s="168" t="str">
        <f>IF(AND(LEN($D16)&gt;0,SUMIF($F$13:$J$13,BG$13,$F16:$J16)&gt;0,ASISTENCIA!#REF!&lt;&gt;"X",ASISTENCIA!#REF!&lt;&gt;"L",ASISTENCIA!#REF!&lt;&gt;"J",ASISTENCIA!#REF!&lt;&gt;"F"),SUMIF($F$13:$J$13,BG$13,$F16:$J16),"")</f>
        <v>#ERROR!</v>
      </c>
      <c r="BH16" s="168" t="str">
        <f>IF(AND(LEN($D16)&gt;0,SUMIF($F$13:$J$13,BH$13,$F16:$J16)&gt;0,ASISTENCIA!#REF!&lt;&gt;"X",ASISTENCIA!#REF!&lt;&gt;"L",ASISTENCIA!#REF!&lt;&gt;"J",ASISTENCIA!#REF!&lt;&gt;"F"),SUMIF($F$13:$J$13,BH$13,$F16:$J16),"")</f>
        <v>#ERROR!</v>
      </c>
      <c r="BI16" s="168" t="str">
        <f>IF(AND(LEN($D16)&gt;0,SUMIF($F$13:$J$13,BI$13,$F16:$J16)&gt;0,ASISTENCIA!#REF!&lt;&gt;"X",ASISTENCIA!#REF!&lt;&gt;"L",ASISTENCIA!#REF!&lt;&gt;"J",ASISTENCIA!#REF!&lt;&gt;"F"),SUMIF($F$13:$J$13,BI$13,$F16:$J16),"")</f>
        <v>#ERROR!</v>
      </c>
      <c r="BJ16" s="168" t="str">
        <f>IF(AND(LEN($D16)&gt;0,SUMIF($F$13:$J$13,BJ$13,$F16:$J16)&gt;0,ASISTENCIA!#REF!&lt;&gt;"X",ASISTENCIA!#REF!&lt;&gt;"L",ASISTENCIA!#REF!&lt;&gt;"J",ASISTENCIA!#REF!&lt;&gt;"F"),SUMIF($F$13:$J$13,BJ$13,$F16:$J16),"")</f>
        <v>#ERROR!</v>
      </c>
      <c r="BK16" s="168" t="str">
        <f>IF(AND(LEN($D16)&gt;0,SUMIF($F$13:$J$13,BK$13,$F16:$J16)&gt;0,ASISTENCIA!#REF!&lt;&gt;"X",ASISTENCIA!#REF!&lt;&gt;"L",ASISTENCIA!#REF!&lt;&gt;"J",ASISTENCIA!#REF!&lt;&gt;"F"),SUMIF($F$13:$J$13,BK$13,$F16:$J16),"")</f>
        <v>#ERROR!</v>
      </c>
      <c r="BL16" s="168" t="str">
        <f>IF(AND(LEN($D16)&gt;0,SUMIF($F$13:$J$13,BL$13,$F16:$J16)&gt;0,ASISTENCIA!BI15&lt;&gt;"X",ASISTENCIA!BI15&lt;&gt;"L",ASISTENCIA!BI15&lt;&gt;"J",ASISTENCIA!BI15&lt;&gt;"F"),SUMIF($F$13:$J$13,BL$13,$F16:$J16),"")</f>
        <v/>
      </c>
      <c r="BM16" s="168" t="str">
        <f>IF(AND(LEN($D16)&gt;0,SUMIF($F$13:$J$13,BM$13,$F16:$J16)&gt;0,ASISTENCIA!BJ15&lt;&gt;"X",ASISTENCIA!BJ15&lt;&gt;"L",ASISTENCIA!BJ15&lt;&gt;"J",ASISTENCIA!BJ15&lt;&gt;"F"),SUMIF($F$13:$J$13,BM$13,$F16:$J16),"")</f>
        <v/>
      </c>
      <c r="BN16" s="168" t="str">
        <f>IF(AND(LEN($D16)&gt;0,SUMIF($F$13:$J$13,BN$13,$F16:$J16)&gt;0,ASISTENCIA!BK15&lt;&gt;"X",ASISTENCIA!BK15&lt;&gt;"L",ASISTENCIA!BK15&lt;&gt;"J",ASISTENCIA!BK15&lt;&gt;"F"),SUMIF($F$13:$J$13,BN$13,$F16:$J16),"")</f>
        <v/>
      </c>
      <c r="BO16" s="168" t="str">
        <f>IF(AND(LEN($D16)&gt;0,SUMIF($F$13:$J$13,BO$13,$F16:$J16)&gt;0,ASISTENCIA!BL15&lt;&gt;"X",ASISTENCIA!BL15&lt;&gt;"L",ASISTENCIA!BL15&lt;&gt;"J",ASISTENCIA!BL15&lt;&gt;"F"),SUMIF($F$13:$J$13,BO$13,$F16:$J16),"")</f>
        <v/>
      </c>
      <c r="BP16" s="168" t="str">
        <f>IF(AND(LEN($D16)&gt;0,SUMIF($F$13:$J$13,BP$13,$F16:$J16)&gt;0,ASISTENCIA!BM15&lt;&gt;"X",ASISTENCIA!BM15&lt;&gt;"L",ASISTENCIA!BM15&lt;&gt;"J",ASISTENCIA!BM15&lt;&gt;"F"),SUMIF($F$13:$J$13,BP$13,$F16:$J16),"")</f>
        <v/>
      </c>
      <c r="BQ16" s="168" t="str">
        <f>IF(AND(LEN($D16)&gt;0,SUMIF($F$13:$J$13,BQ$13,$F16:$J16)&gt;0,ASISTENCIA!BN15&lt;&gt;"X",ASISTENCIA!BN15&lt;&gt;"L",ASISTENCIA!BN15&lt;&gt;"J",ASISTENCIA!BN15&lt;&gt;"F"),SUMIF($F$13:$J$13,BQ$13,$F16:$J16),"")</f>
        <v/>
      </c>
      <c r="BR16" s="168" t="str">
        <f>IF(AND(LEN($D16)&gt;0,SUMIF($F$13:$J$13,BR$13,$F16:$J16)&gt;0,ASISTENCIA!BO15&lt;&gt;"X",ASISTENCIA!BO15&lt;&gt;"L",ASISTENCIA!BO15&lt;&gt;"J",ASISTENCIA!BO15&lt;&gt;"F"),SUMIF($F$13:$J$13,BR$13,$F16:$J16),"")</f>
        <v/>
      </c>
      <c r="BS16" s="168" t="str">
        <f>IF(AND(LEN($D16)&gt;0,SUMIF($F$13:$J$13,BS$13,$F16:$J16)&gt;0,ASISTENCIA!BP15&lt;&gt;"X",ASISTENCIA!BP15&lt;&gt;"L",ASISTENCIA!BP15&lt;&gt;"J",ASISTENCIA!BP15&lt;&gt;"F"),SUMIF($F$13:$J$13,BS$13,$F16:$J16),"")</f>
        <v/>
      </c>
      <c r="BT16" s="168" t="str">
        <f>IF(AND(LEN($D16)&gt;0,SUMIF($F$13:$J$13,BT$13,$F16:$J16)&gt;0,ASISTENCIA!BQ15&lt;&gt;"X",ASISTENCIA!BQ15&lt;&gt;"L",ASISTENCIA!BQ15&lt;&gt;"J",ASISTENCIA!BQ15&lt;&gt;"F"),SUMIF($F$13:$J$13,BT$13,$F16:$J16),"")</f>
        <v/>
      </c>
      <c r="BU16" s="168" t="str">
        <f>IF(AND(LEN($D16)&gt;0,SUMIF($F$13:$J$13,BU$13,$F16:$J16)&gt;0,ASISTENCIA!BR15&lt;&gt;"X",ASISTENCIA!BR15&lt;&gt;"L",ASISTENCIA!BR15&lt;&gt;"J",ASISTENCIA!BR15&lt;&gt;"F"),SUMIF($F$13:$J$13,BU$13,$F16:$J16),"")</f>
        <v/>
      </c>
      <c r="BV16" s="168" t="str">
        <f>IF(AND(LEN($D16)&gt;0,SUMIF($F$13:$J$13,BV$13,$F16:$J16)&gt;0,ASISTENCIA!BS15&lt;&gt;"X",ASISTENCIA!BS15&lt;&gt;"L",ASISTENCIA!BS15&lt;&gt;"J",ASISTENCIA!BS15&lt;&gt;"F"),SUMIF($F$13:$J$13,BV$13,$F16:$J16),"")</f>
        <v/>
      </c>
      <c r="BW16" s="168" t="str">
        <f>IF(AND(LEN($D16)&gt;0,SUMIF($F$13:$J$13,BW$13,$F16:$J16)&gt;0,ASISTENCIA!BT15&lt;&gt;"X",ASISTENCIA!BT15&lt;&gt;"L",ASISTENCIA!BT15&lt;&gt;"J",ASISTENCIA!BT15&lt;&gt;"F"),SUMIF($F$13:$J$13,BW$13,$F16:$J16),"")</f>
        <v/>
      </c>
      <c r="BX16" s="168" t="str">
        <f>IF(AND(LEN($D16)&gt;0,SUMIF($F$13:$J$13,BX$13,$F16:$J16)&gt;0,ASISTENCIA!BU15&lt;&gt;"X",ASISTENCIA!BU15&lt;&gt;"L",ASISTENCIA!BU15&lt;&gt;"J",ASISTENCIA!BU15&lt;&gt;"F"),SUMIF($F$13:$J$13,BX$13,$F16:$J16),"")</f>
        <v/>
      </c>
      <c r="BY16" s="168" t="str">
        <f>IF(AND(LEN($D16)&gt;0,SUMIF($F$13:$J$13,BY$13,$F16:$J16)&gt;0,ASISTENCIA!BV15&lt;&gt;"X",ASISTENCIA!BV15&lt;&gt;"L",ASISTENCIA!BV15&lt;&gt;"J",ASISTENCIA!BV15&lt;&gt;"F"),SUMIF($F$13:$J$13,BY$13,$F16:$J16),"")</f>
        <v/>
      </c>
      <c r="BZ16" s="168" t="str">
        <f>IF(AND(LEN($D16)&gt;0,SUMIF($F$13:$J$13,BZ$13,$F16:$J16)&gt;0,ASISTENCIA!BW15&lt;&gt;"X",ASISTENCIA!BW15&lt;&gt;"L",ASISTENCIA!BW15&lt;&gt;"J",ASISTENCIA!BW15&lt;&gt;"F"),SUMIF($F$13:$J$13,BZ$13,$F16:$J16),"")</f>
        <v/>
      </c>
      <c r="CA16" s="168" t="str">
        <f>IF(AND(LEN($D16)&gt;0,SUMIF($F$13:$J$13,CA$13,$F16:$J16)&gt;0,ASISTENCIA!BX15&lt;&gt;"X",ASISTENCIA!BX15&lt;&gt;"L",ASISTENCIA!BX15&lt;&gt;"J",ASISTENCIA!BX15&lt;&gt;"F"),SUMIF($F$13:$J$13,CA$13,$F16:$J16),"")</f>
        <v/>
      </c>
      <c r="CB16" s="168" t="str">
        <f>IF(AND(LEN($D16)&gt;0,SUMIF($F$13:$J$13,CB$13,$F16:$J16)&gt;0,ASISTENCIA!BY15&lt;&gt;"X",ASISTENCIA!BY15&lt;&gt;"L",ASISTENCIA!BY15&lt;&gt;"J",ASISTENCIA!BY15&lt;&gt;"F"),SUMIF($F$13:$J$13,CB$13,$F16:$J16),"")</f>
        <v/>
      </c>
      <c r="CC16" s="182" t="str">
        <f t="shared" si="5"/>
        <v>#ERROR!</v>
      </c>
      <c r="CD16" s="157"/>
    </row>
    <row r="17" ht="12.75" customHeight="1">
      <c r="A17" s="132" t="str">
        <f t="shared" si="6"/>
        <v/>
      </c>
      <c r="B17" s="183" t="str">
        <f>IF(LEN(C17)&gt;0,VLOOKUP($O$4,DATA!$A$1:$S$1,2,FALSE),"")</f>
        <v/>
      </c>
      <c r="C17" s="184" t="str">
        <f t="shared" si="1"/>
        <v/>
      </c>
      <c r="D17" s="136" t="str">
        <f>IF(LEN(ASISTENCIA!E16)&gt;0,ASISTENCIA!E16,"")</f>
        <v/>
      </c>
      <c r="E17" s="167" t="str">
        <f>IF(LEN(D17)&gt;0,ASISTENCIA!F16,"")</f>
        <v/>
      </c>
      <c r="F17" s="180"/>
      <c r="G17" s="180"/>
      <c r="H17" s="180"/>
      <c r="I17" s="180"/>
      <c r="J17" s="180"/>
      <c r="K17" s="168" t="str">
        <f t="shared" si="2"/>
        <v/>
      </c>
      <c r="L17" s="185"/>
      <c r="M17" s="168"/>
      <c r="N17" s="168" t="str">
        <f t="shared" si="3"/>
        <v>#ERROR!</v>
      </c>
      <c r="O17" s="168" t="str">
        <f>IF(AND(LEN($D17)&gt;0,SUMIF($F$13:$J$13,O$13,$F17:$J17)&gt;0,ASISTENCIA!I16&lt;&gt;"X",ASISTENCIA!I16&lt;&gt;"L",ASISTENCIA!I16&lt;&gt;"J",ASISTENCIA!I16&lt;&gt;"V",ASISTENCIA!I16&lt;&gt;"F",ASISTENCIA!I16&lt;&gt;""),SUMIF($F$13:$J$13,O$13,$F17:$J17),"")</f>
        <v/>
      </c>
      <c r="P17" s="168" t="str">
        <f>IF(AND(LEN($D17)&gt;0,SUMIF($F$13:$J$13,P$13,$F17:$J17)&gt;0,ASISTENCIA!J16&lt;&gt;"X",ASISTENCIA!J16&lt;&gt;"L",ASISTENCIA!J16&lt;&gt;"J",ASISTENCIA!J16&lt;&gt;"V",ASISTENCIA!J16&lt;&gt;"F",ASISTENCIA!J16&lt;&gt;""),SUMIF($F$13:$J$13,P$13,$F17:$J17),"")</f>
        <v/>
      </c>
      <c r="Q17" s="168" t="str">
        <f>IF(AND(LEN($D17)&gt;0,SUMIF($F$13:$J$13,Q$13,$F17:$J17)&gt;0,ASISTENCIA!K16&lt;&gt;"X",ASISTENCIA!K16&lt;&gt;"L",ASISTENCIA!K16&lt;&gt;"J",ASISTENCIA!K16&lt;&gt;"V",ASISTENCIA!K16&lt;&gt;"F",ASISTENCIA!K16&lt;&gt;""),SUMIF($F$13:$J$13,Q$13,$F17:$J17),"")</f>
        <v/>
      </c>
      <c r="R17" s="168" t="str">
        <f>IF(AND(LEN($D17)&gt;0,SUMIF($F$13:$J$13,R$13,$F17:$J17)&gt;0,ASISTENCIA!L16&lt;&gt;"X",ASISTENCIA!L16&lt;&gt;"L",ASISTENCIA!L16&lt;&gt;"J",ASISTENCIA!L16&lt;&gt;"V",ASISTENCIA!L16&lt;&gt;"F",ASISTENCIA!L16&lt;&gt;""),SUMIF($F$13:$J$13,R$13,$F17:$J17),"")</f>
        <v/>
      </c>
      <c r="S17" s="168" t="str">
        <f>IF(AND(LEN($D17)&gt;0,SUMIF($F$13:$J$13,S$13,$F17:$J17)&gt;0,ASISTENCIA!M16&lt;&gt;"X",ASISTENCIA!M16&lt;&gt;"L",ASISTENCIA!M16&lt;&gt;"J",ASISTENCIA!M16&lt;&gt;"V",ASISTENCIA!M16&lt;&gt;"F",ASISTENCIA!M16&lt;&gt;""),SUMIF($F$13:$J$13,S$13,$F17:$J17),"")</f>
        <v/>
      </c>
      <c r="T17" s="168" t="str">
        <f>IF(AND(LEN($D17)&gt;0,SUMIF($F$13:$J$13,T$13,$F17:$J17)&gt;0,ASISTENCIA!N16&lt;&gt;"X",ASISTENCIA!N16&lt;&gt;"L",ASISTENCIA!N16&lt;&gt;"J",ASISTENCIA!N16&lt;&gt;"V",ASISTENCIA!N16&lt;&gt;"F",ASISTENCIA!N16&lt;&gt;""),SUMIF($F$13:$J$13,T$13,$F17:$J17),"")</f>
        <v/>
      </c>
      <c r="U17" s="168" t="str">
        <f>IF(AND(LEN($D17)&gt;0,SUMIF($F$13:$J$13,U$13,$F17:$J17)&gt;0,ASISTENCIA!O16&lt;&gt;"X",ASISTENCIA!O16&lt;&gt;"L",ASISTENCIA!O16&lt;&gt;"J",ASISTENCIA!O16&lt;&gt;"V",ASISTENCIA!O16&lt;&gt;"F",ASISTENCIA!O16&lt;&gt;""),SUMIF($F$13:$J$13,U$13,$F17:$J17),"")</f>
        <v/>
      </c>
      <c r="V17" s="168" t="str">
        <f>IF(AND(LEN($D17)&gt;0,SUMIF($F$13:$J$13,V$13,$F17:$J17)&gt;0,ASISTENCIA!P16&lt;&gt;"X",ASISTENCIA!P16&lt;&gt;"L",ASISTENCIA!P16&lt;&gt;"J",ASISTENCIA!P16&lt;&gt;"V",ASISTENCIA!P16&lt;&gt;"F",ASISTENCIA!P16&lt;&gt;""),SUMIF($F$13:$J$13,V$13,$F17:$J17),"")</f>
        <v/>
      </c>
      <c r="W17" s="168" t="str">
        <f>IF(AND(LEN($D17)&gt;0,SUMIF($F$13:$J$13,W$13,$F17:$J17)&gt;0,ASISTENCIA!Q16&lt;&gt;"X",ASISTENCIA!Q16&lt;&gt;"L",ASISTENCIA!Q16&lt;&gt;"J",ASISTENCIA!Q16&lt;&gt;"V",ASISTENCIA!Q16&lt;&gt;"F",ASISTENCIA!Q16&lt;&gt;""),SUMIF($F$13:$J$13,W$13,$F17:$J17),"")</f>
        <v/>
      </c>
      <c r="X17" s="168" t="str">
        <f>IF(AND(LEN($D17)&gt;0,SUMIF($F$13:$J$13,X$13,$F17:$J17)&gt;0,ASISTENCIA!R16&lt;&gt;"X",ASISTENCIA!R16&lt;&gt;"L",ASISTENCIA!R16&lt;&gt;"J",ASISTENCIA!R16&lt;&gt;"V",ASISTENCIA!R16&lt;&gt;"F",ASISTENCIA!R16&lt;&gt;""),SUMIF($F$13:$J$13,X$13,$F17:$J17),"")</f>
        <v/>
      </c>
      <c r="Y17" s="168" t="str">
        <f>IF(AND(LEN($D17)&gt;0,SUMIF($F$13:$J$13,Y$13,$F17:$J17)&gt;0,ASISTENCIA!S16&lt;&gt;"X",ASISTENCIA!S16&lt;&gt;"L",ASISTENCIA!S16&lt;&gt;"J",ASISTENCIA!S16&lt;&gt;"V",ASISTENCIA!S16&lt;&gt;"F",ASISTENCIA!S16&lt;&gt;""),SUMIF($F$13:$J$13,Y$13,$F17:$J17),"")</f>
        <v/>
      </c>
      <c r="Z17" s="168" t="str">
        <f>IF(AND(LEN($D17)&gt;0,SUMIF($F$13:$J$13,Z$13,$F17:$J17)&gt;0,ASISTENCIA!T16&lt;&gt;"X",ASISTENCIA!T16&lt;&gt;"L",ASISTENCIA!T16&lt;&gt;"J",ASISTENCIA!T16&lt;&gt;"V",ASISTENCIA!T16&lt;&gt;"F",ASISTENCIA!T16&lt;&gt;""),SUMIF($F$13:$J$13,Z$13,$F17:$J17),"")</f>
        <v/>
      </c>
      <c r="AA17" s="168" t="str">
        <f>IF(AND(LEN($D17)&gt;0,SUMIF($F$13:$J$13,AA$13,$F17:$J17)&gt;0,ASISTENCIA!U16&lt;&gt;"X",ASISTENCIA!U16&lt;&gt;"L",ASISTENCIA!U16&lt;&gt;"J",ASISTENCIA!U16&lt;&gt;"V",ASISTENCIA!U16&lt;&gt;"F",ASISTENCIA!U16&lt;&gt;""),SUMIF($F$13:$J$13,AA$13,$F17:$J17),"")</f>
        <v/>
      </c>
      <c r="AB17" s="168" t="str">
        <f>IF(AND(LEN($D17)&gt;0,SUMIF($F$13:$J$13,AB$13,$F17:$J17)&gt;0,ASISTENCIA!V16&lt;&gt;"X",ASISTENCIA!V16&lt;&gt;"L",ASISTENCIA!V16&lt;&gt;"J",ASISTENCIA!V16&lt;&gt;"V",ASISTENCIA!V16&lt;&gt;"F",ASISTENCIA!V16&lt;&gt;""),SUMIF($F$13:$J$13,AB$13,$F17:$J17),"")</f>
        <v/>
      </c>
      <c r="AC17" s="168" t="str">
        <f>IF(AND(LEN($D17)&gt;0,SUMIF($F$13:$J$13,AC$13,$F17:$J17)&gt;0,ASISTENCIA!W16&lt;&gt;"X",ASISTENCIA!W16&lt;&gt;"L",ASISTENCIA!W16&lt;&gt;"J",ASISTENCIA!W16&lt;&gt;"V",ASISTENCIA!W16&lt;&gt;"F",ASISTENCIA!W16&lt;&gt;""),SUMIF($F$13:$J$13,AC$13,$F17:$J17),"")</f>
        <v/>
      </c>
      <c r="AD17" s="168" t="str">
        <f>IF(AND(LEN($D17)&gt;0,SUMIF($F$13:$J$13,AD$13,$F17:$J17)&gt;0,ASISTENCIA!X16&lt;&gt;"X",ASISTENCIA!X16&lt;&gt;"L",ASISTENCIA!X16&lt;&gt;"J",ASISTENCIA!X16&lt;&gt;"V",ASISTENCIA!X16&lt;&gt;"F",ASISTENCIA!X16&lt;&gt;""),SUMIF($F$13:$J$13,AD$13,$F17:$J17),"")</f>
        <v/>
      </c>
      <c r="AE17" s="168" t="str">
        <f>IF(AND(LEN($D17)&gt;0,SUMIF($F$13:$J$13,AE$13,$F17:$J17)&gt;0,ASISTENCIA!Y16&lt;&gt;"X",ASISTENCIA!Y16&lt;&gt;"L",ASISTENCIA!Y16&lt;&gt;"J",ASISTENCIA!Y16&lt;&gt;"V",ASISTENCIA!Y16&lt;&gt;"F",ASISTENCIA!Y16&lt;&gt;""),SUMIF($F$13:$J$13,AE$13,$F17:$J17),"")</f>
        <v/>
      </c>
      <c r="AF17" s="168" t="str">
        <f>IF(AND(LEN($D17)&gt;0,SUMIF($F$13:$J$13,AF$13,$F17:$J17)&gt;0,ASISTENCIA!Z16&lt;&gt;"X",ASISTENCIA!Z16&lt;&gt;"L",ASISTENCIA!Z16&lt;&gt;"J",ASISTENCIA!Z16&lt;&gt;"V",ASISTENCIA!Z16&lt;&gt;"F",ASISTENCIA!Z16&lt;&gt;""),SUMIF($F$13:$J$13,AF$13,$F17:$J17),"")</f>
        <v/>
      </c>
      <c r="AG17" s="168" t="str">
        <f>IF(AND(LEN($D17)&gt;0,SUMIF($F$13:$J$13,AG$13,$F17:$J17)&gt;0,ASISTENCIA!AA16&lt;&gt;"X",ASISTENCIA!AA16&lt;&gt;"L",ASISTENCIA!AA16&lt;&gt;"J",ASISTENCIA!AA16&lt;&gt;"V",ASISTENCIA!AA16&lt;&gt;"F",ASISTENCIA!AA16&lt;&gt;""),SUMIF($F$13:$J$13,AG$13,$F17:$J17),"")</f>
        <v/>
      </c>
      <c r="AH17" s="168" t="str">
        <f>IF(AND(LEN($D17)&gt;0,SUMIF($F$13:$J$13,AH$13,$F17:$J17)&gt;0,ASISTENCIA!AB16&lt;&gt;"X",ASISTENCIA!AB16&lt;&gt;"L",ASISTENCIA!AB16&lt;&gt;"J",ASISTENCIA!AB16&lt;&gt;"V",ASISTENCIA!AB16&lt;&gt;"F",ASISTENCIA!AB16&lt;&gt;""),SUMIF($F$13:$J$13,AH$13,$F17:$J17),"")</f>
        <v/>
      </c>
      <c r="AI17" s="168" t="str">
        <f>IF(AND(LEN($D17)&gt;0,SUMIF($F$13:$J$13,AI$13,$F17:$J17)&gt;0,ASISTENCIA!AC16&lt;&gt;"X",ASISTENCIA!AC16&lt;&gt;"L",ASISTENCIA!AC16&lt;&gt;"J",ASISTENCIA!AC16&lt;&gt;"V",ASISTENCIA!AC16&lt;&gt;"F",ASISTENCIA!AC16&lt;&gt;""),SUMIF($F$13:$J$13,AI$13,$F17:$J17),"")</f>
        <v/>
      </c>
      <c r="AJ17" s="168" t="str">
        <f>IF(AND(LEN($D17)&gt;0,SUMIF($F$13:$J$13,AJ$13,$F17:$J17)&gt;0,ASISTENCIA!AD16&lt;&gt;"X",ASISTENCIA!AD16&lt;&gt;"L",ASISTENCIA!AD16&lt;&gt;"J",ASISTENCIA!AD16&lt;&gt;"V",ASISTENCIA!AD16&lt;&gt;"F",ASISTENCIA!AD16&lt;&gt;""),SUMIF($F$13:$J$13,AJ$13,$F17:$J17),"")</f>
        <v/>
      </c>
      <c r="AK17" s="168" t="str">
        <f>IF(AND(LEN($D17)&gt;0,SUMIF($F$13:$J$13,AK$13,$F17:$J17)&gt;0,ASISTENCIA!AE16&lt;&gt;"X",ASISTENCIA!AE16&lt;&gt;"L",ASISTENCIA!AE16&lt;&gt;"J",ASISTENCIA!AE16&lt;&gt;"V",ASISTENCIA!AE16&lt;&gt;"F",ASISTENCIA!AE16&lt;&gt;""),SUMIF($F$13:$J$13,AK$13,$F17:$J17),"")</f>
        <v/>
      </c>
      <c r="AL17" s="168" t="str">
        <f>IF(AND(LEN($D17)&gt;0,SUMIF($F$13:$J$13,AL$13,$F17:$J17)&gt;0,ASISTENCIA!AF16&lt;&gt;"X",ASISTENCIA!AF16&lt;&gt;"L",ASISTENCIA!AF16&lt;&gt;"J",ASISTENCIA!AF16&lt;&gt;"V",ASISTENCIA!AF16&lt;&gt;"F",ASISTENCIA!AF16&lt;&gt;""),SUMIF($F$13:$J$13,AL$13,$F17:$J17),"")</f>
        <v/>
      </c>
      <c r="AM17" s="168" t="str">
        <f>IF(AND(LEN($D17)&gt;0,SUMIF($F$13:$J$13,AM$13,$F17:$J17)&gt;0,ASISTENCIA!AG16&lt;&gt;"X",ASISTENCIA!AG16&lt;&gt;"L",ASISTENCIA!AG16&lt;&gt;"J",ASISTENCIA!AG16&lt;&gt;"V",ASISTENCIA!AG16&lt;&gt;"F",ASISTENCIA!AG16&lt;&gt;""),SUMIF($F$13:$J$13,AM$13,$F17:$J17),"")</f>
        <v/>
      </c>
      <c r="AN17" s="168" t="str">
        <f>IF(AND(LEN($D17)&gt;0,SUMIF($F$13:$J$13,AN$13,$F17:$J17)&gt;0,ASISTENCIA!AH16&lt;&gt;"X",ASISTENCIA!AH16&lt;&gt;"L",ASISTENCIA!AH16&lt;&gt;"J",ASISTENCIA!AH16&lt;&gt;"V",ASISTENCIA!AH16&lt;&gt;"F",ASISTENCIA!AH16&lt;&gt;""),SUMIF($F$13:$J$13,AN$13,$F17:$J17),"")</f>
        <v/>
      </c>
      <c r="AO17" s="168" t="str">
        <f>IF(AND(LEN($D17)&gt;0,SUMIF($F$13:$J$13,AO$13,$F17:$J17)&gt;0,ASISTENCIA!AI16&lt;&gt;"X",ASISTENCIA!AI16&lt;&gt;"L",ASISTENCIA!AI16&lt;&gt;"J",ASISTENCIA!AI16&lt;&gt;"V",ASISTENCIA!AI16&lt;&gt;"F",ASISTENCIA!AI16&lt;&gt;""),SUMIF($F$13:$J$13,AO$13,$F17:$J17),"")</f>
        <v/>
      </c>
      <c r="AP17" s="168" t="str">
        <f>IF(AND(LEN($D17)&gt;0,SUMIF($F$13:$J$13,AP$13,$F17:$J17)&gt;0,ASISTENCIA!AJ16&lt;&gt;"X",ASISTENCIA!AJ16&lt;&gt;"L",ASISTENCIA!AJ16&lt;&gt;"J",ASISTENCIA!AJ16&lt;&gt;"V",ASISTENCIA!AJ16&lt;&gt;"F",ASISTENCIA!AJ16&lt;&gt;""),SUMIF($F$13:$J$13,AP$13,$F17:$J17),"")</f>
        <v/>
      </c>
      <c r="AQ17" s="168" t="str">
        <f>IF(AND(LEN($D17)&gt;0,SUMIF($F$13:$J$13,AQ$13,$F17:$J17)&gt;0,ASISTENCIA!AK16&lt;&gt;"X",ASISTENCIA!AK16&lt;&gt;"L",ASISTENCIA!AK16&lt;&gt;"J",ASISTENCIA!AK16&lt;&gt;"V",ASISTENCIA!AK16&lt;&gt;"F",ASISTENCIA!AK16&lt;&gt;""),SUMIF($F$13:$J$13,AQ$13,$F17:$J17),"")</f>
        <v/>
      </c>
      <c r="AR17" s="168" t="str">
        <f>IF(AND(LEN($D17)&gt;0,SUMIF($F$13:$J$13,AR$13,$F17:$J17)&gt;0,ASISTENCIA!AL16&lt;&gt;"X",ASISTENCIA!AL16&lt;&gt;"L",ASISTENCIA!AL16&lt;&gt;"J",ASISTENCIA!AL16&lt;&gt;"V",ASISTENCIA!AL16&lt;&gt;"F",ASISTENCIA!AL16&lt;&gt;""),SUMIF($F$13:$J$13,AR$13,$F17:$J17),"")</f>
        <v/>
      </c>
      <c r="AS17" s="168" t="str">
        <f>IF(AND(LEN($D17)&gt;0,SUMIF($F$13:$J$13,AS$13,$F17:$J17)&gt;0,ASISTENCIA!AM16&lt;&gt;"X",ASISTENCIA!AM16&lt;&gt;"L",ASISTENCIA!AM16&lt;&gt;"J",ASISTENCIA!AM16&lt;&gt;"V",ASISTENCIA!AM16&lt;&gt;"F",ASISTENCIA!AM16&lt;&gt;""),SUMIF($F$13:$J$13,AS$13,$F17:$J17),"")</f>
        <v/>
      </c>
      <c r="AT17" s="182" t="str">
        <f t="shared" si="4"/>
        <v/>
      </c>
      <c r="AU17" s="157"/>
      <c r="AV17" s="157"/>
      <c r="AW17" s="157"/>
      <c r="AX17" s="168" t="str">
        <f>IF(AND(LEN($D17)&gt;0,SUMIF($F$13:$J$13,AX$13,$F17:$J17)&gt;0,ASISTENCIA!AU16&lt;&gt;"X",ASISTENCIA!AU16&lt;&gt;"L",ASISTENCIA!AU16&lt;&gt;"J",ASISTENCIA!AU16&lt;&gt;"F"),SUMIF($F$13:$J$13,AX$13,$F17:$J17),"")</f>
        <v/>
      </c>
      <c r="AY17" s="168" t="str">
        <f>IF(AND(LEN($D17)&gt;0,SUMIF($F$13:$J$13,AY$13,$F17:$J17)&gt;0,ASISTENCIA!#REF!&lt;&gt;"X",ASISTENCIA!#REF!&lt;&gt;"L",ASISTENCIA!#REF!&lt;&gt;"J",ASISTENCIA!#REF!&lt;&gt;"F"),SUMIF($F$13:$J$13,AY$13,$F17:$J17),"")</f>
        <v>#ERROR!</v>
      </c>
      <c r="AZ17" s="168" t="str">
        <f>IF(AND(LEN($D17)&gt;0,SUMIF($F$13:$J$13,AZ$13,$F17:$J17)&gt;0,ASISTENCIA!BF16&lt;&gt;"X",ASISTENCIA!BF16&lt;&gt;"L",ASISTENCIA!BF16&lt;&gt;"J",ASISTENCIA!BF16&lt;&gt;"F"),SUMIF($F$13:$J$13,AZ$13,$F17:$J17),"")</f>
        <v/>
      </c>
      <c r="BA17" s="168" t="str">
        <f>IF(AND(LEN($D17)&gt;0,SUMIF($F$13:$J$13,BA$13,$F17:$J17)&gt;0,ASISTENCIA!BG16&lt;&gt;"X",ASISTENCIA!BG16&lt;&gt;"L",ASISTENCIA!BG16&lt;&gt;"J",ASISTENCIA!BG16&lt;&gt;"F"),SUMIF($F$13:$J$13,BA$13,$F17:$J17),"")</f>
        <v/>
      </c>
      <c r="BB17" s="168" t="str">
        <f>IF(AND(LEN($D17)&gt;0,SUMIF($F$13:$J$13,BB$13,$F17:$J17)&gt;0,ASISTENCIA!BH16&lt;&gt;"X",ASISTENCIA!BH16&lt;&gt;"L",ASISTENCIA!BH16&lt;&gt;"J",ASISTENCIA!BH16&lt;&gt;"F"),SUMIF($F$13:$J$13,BB$13,$F17:$J17),"")</f>
        <v/>
      </c>
      <c r="BC17" s="168" t="str">
        <f>IF(AND(LEN($D17)&gt;0,SUMIF($F$13:$J$13,BC$13,$F17:$J17)&gt;0,ASISTENCIA!AZ16&lt;&gt;"X",ASISTENCIA!AZ16&lt;&gt;"L",ASISTENCIA!AZ16&lt;&gt;"J",ASISTENCIA!AZ16&lt;&gt;"F"),SUMIF($F$13:$J$13,BC$13,$F17:$J17),"")</f>
        <v/>
      </c>
      <c r="BD17" s="168" t="str">
        <f>IF(AND(LEN($D17)&gt;0,SUMIF($F$13:$J$13,BD$13,$F17:$J17)&gt;0,ASISTENCIA!BA16&lt;&gt;"X",ASISTENCIA!BA16&lt;&gt;"L",ASISTENCIA!BA16&lt;&gt;"J",ASISTENCIA!BA16&lt;&gt;"F"),SUMIF($F$13:$J$13,BD$13,$F17:$J17),"")</f>
        <v/>
      </c>
      <c r="BE17" s="168" t="str">
        <f>IF(AND(LEN($D17)&gt;0,SUMIF($F$13:$J$13,BE$13,$F17:$J17)&gt;0,ASISTENCIA!BB16&lt;&gt;"X",ASISTENCIA!BB16&lt;&gt;"L",ASISTENCIA!BB16&lt;&gt;"J",ASISTENCIA!BB16&lt;&gt;"F"),SUMIF($F$13:$J$13,BE$13,$F17:$J17),"")</f>
        <v/>
      </c>
      <c r="BF17" s="168" t="str">
        <f>IF(AND(LEN($D17)&gt;0,SUMIF($F$13:$J$13,BF$13,$F17:$J17)&gt;0,ASISTENCIA!#REF!&lt;&gt;"X",ASISTENCIA!#REF!&lt;&gt;"L",ASISTENCIA!#REF!&lt;&gt;"J",ASISTENCIA!#REF!&lt;&gt;"F"),SUMIF($F$13:$J$13,BF$13,$F17:$J17),"")</f>
        <v>#ERROR!</v>
      </c>
      <c r="BG17" s="168" t="str">
        <f>IF(AND(LEN($D17)&gt;0,SUMIF($F$13:$J$13,BG$13,$F17:$J17)&gt;0,ASISTENCIA!#REF!&lt;&gt;"X",ASISTENCIA!#REF!&lt;&gt;"L",ASISTENCIA!#REF!&lt;&gt;"J",ASISTENCIA!#REF!&lt;&gt;"F"),SUMIF($F$13:$J$13,BG$13,$F17:$J17),"")</f>
        <v>#ERROR!</v>
      </c>
      <c r="BH17" s="168" t="str">
        <f>IF(AND(LEN($D17)&gt;0,SUMIF($F$13:$J$13,BH$13,$F17:$J17)&gt;0,ASISTENCIA!#REF!&lt;&gt;"X",ASISTENCIA!#REF!&lt;&gt;"L",ASISTENCIA!#REF!&lt;&gt;"J",ASISTENCIA!#REF!&lt;&gt;"F"),SUMIF($F$13:$J$13,BH$13,$F17:$J17),"")</f>
        <v>#ERROR!</v>
      </c>
      <c r="BI17" s="168" t="str">
        <f>IF(AND(LEN($D17)&gt;0,SUMIF($F$13:$J$13,BI$13,$F17:$J17)&gt;0,ASISTENCIA!#REF!&lt;&gt;"X",ASISTENCIA!#REF!&lt;&gt;"L",ASISTENCIA!#REF!&lt;&gt;"J",ASISTENCIA!#REF!&lt;&gt;"F"),SUMIF($F$13:$J$13,BI$13,$F17:$J17),"")</f>
        <v>#ERROR!</v>
      </c>
      <c r="BJ17" s="168" t="str">
        <f>IF(AND(LEN($D17)&gt;0,SUMIF($F$13:$J$13,BJ$13,$F17:$J17)&gt;0,ASISTENCIA!#REF!&lt;&gt;"X",ASISTENCIA!#REF!&lt;&gt;"L",ASISTENCIA!#REF!&lt;&gt;"J",ASISTENCIA!#REF!&lt;&gt;"F"),SUMIF($F$13:$J$13,BJ$13,$F17:$J17),"")</f>
        <v>#ERROR!</v>
      </c>
      <c r="BK17" s="168" t="str">
        <f>IF(AND(LEN($D17)&gt;0,SUMIF($F$13:$J$13,BK$13,$F17:$J17)&gt;0,ASISTENCIA!#REF!&lt;&gt;"X",ASISTENCIA!#REF!&lt;&gt;"L",ASISTENCIA!#REF!&lt;&gt;"J",ASISTENCIA!#REF!&lt;&gt;"F"),SUMIF($F$13:$J$13,BK$13,$F17:$J17),"")</f>
        <v>#ERROR!</v>
      </c>
      <c r="BL17" s="168" t="str">
        <f>IF(AND(LEN($D17)&gt;0,SUMIF($F$13:$J$13,BL$13,$F17:$J17)&gt;0,ASISTENCIA!BI16&lt;&gt;"X",ASISTENCIA!BI16&lt;&gt;"L",ASISTENCIA!BI16&lt;&gt;"J",ASISTENCIA!BI16&lt;&gt;"F"),SUMIF($F$13:$J$13,BL$13,$F17:$J17),"")</f>
        <v/>
      </c>
      <c r="BM17" s="168" t="str">
        <f>IF(AND(LEN($D17)&gt;0,SUMIF($F$13:$J$13,BM$13,$F17:$J17)&gt;0,ASISTENCIA!BJ16&lt;&gt;"X",ASISTENCIA!BJ16&lt;&gt;"L",ASISTENCIA!BJ16&lt;&gt;"J",ASISTENCIA!BJ16&lt;&gt;"F"),SUMIF($F$13:$J$13,BM$13,$F17:$J17),"")</f>
        <v/>
      </c>
      <c r="BN17" s="168" t="str">
        <f>IF(AND(LEN($D17)&gt;0,SUMIF($F$13:$J$13,BN$13,$F17:$J17)&gt;0,ASISTENCIA!BK16&lt;&gt;"X",ASISTENCIA!BK16&lt;&gt;"L",ASISTENCIA!BK16&lt;&gt;"J",ASISTENCIA!BK16&lt;&gt;"F"),SUMIF($F$13:$J$13,BN$13,$F17:$J17),"")</f>
        <v/>
      </c>
      <c r="BO17" s="168" t="str">
        <f>IF(AND(LEN($D17)&gt;0,SUMIF($F$13:$J$13,BO$13,$F17:$J17)&gt;0,ASISTENCIA!BL16&lt;&gt;"X",ASISTENCIA!BL16&lt;&gt;"L",ASISTENCIA!BL16&lt;&gt;"J",ASISTENCIA!BL16&lt;&gt;"F"),SUMIF($F$13:$J$13,BO$13,$F17:$J17),"")</f>
        <v/>
      </c>
      <c r="BP17" s="168" t="str">
        <f>IF(AND(LEN($D17)&gt;0,SUMIF($F$13:$J$13,BP$13,$F17:$J17)&gt;0,ASISTENCIA!BM16&lt;&gt;"X",ASISTENCIA!BM16&lt;&gt;"L",ASISTENCIA!BM16&lt;&gt;"J",ASISTENCIA!BM16&lt;&gt;"F"),SUMIF($F$13:$J$13,BP$13,$F17:$J17),"")</f>
        <v/>
      </c>
      <c r="BQ17" s="168" t="str">
        <f>IF(AND(LEN($D17)&gt;0,SUMIF($F$13:$J$13,BQ$13,$F17:$J17)&gt;0,ASISTENCIA!BN16&lt;&gt;"X",ASISTENCIA!BN16&lt;&gt;"L",ASISTENCIA!BN16&lt;&gt;"J",ASISTENCIA!BN16&lt;&gt;"F"),SUMIF($F$13:$J$13,BQ$13,$F17:$J17),"")</f>
        <v/>
      </c>
      <c r="BR17" s="168" t="str">
        <f>IF(AND(LEN($D17)&gt;0,SUMIF($F$13:$J$13,BR$13,$F17:$J17)&gt;0,ASISTENCIA!BO16&lt;&gt;"X",ASISTENCIA!BO16&lt;&gt;"L",ASISTENCIA!BO16&lt;&gt;"J",ASISTENCIA!BO16&lt;&gt;"F"),SUMIF($F$13:$J$13,BR$13,$F17:$J17),"")</f>
        <v/>
      </c>
      <c r="BS17" s="168" t="str">
        <f>IF(AND(LEN($D17)&gt;0,SUMIF($F$13:$J$13,BS$13,$F17:$J17)&gt;0,ASISTENCIA!BP16&lt;&gt;"X",ASISTENCIA!BP16&lt;&gt;"L",ASISTENCIA!BP16&lt;&gt;"J",ASISTENCIA!BP16&lt;&gt;"F"),SUMIF($F$13:$J$13,BS$13,$F17:$J17),"")</f>
        <v/>
      </c>
      <c r="BT17" s="168" t="str">
        <f>IF(AND(LEN($D17)&gt;0,SUMIF($F$13:$J$13,BT$13,$F17:$J17)&gt;0,ASISTENCIA!BQ16&lt;&gt;"X",ASISTENCIA!BQ16&lt;&gt;"L",ASISTENCIA!BQ16&lt;&gt;"J",ASISTENCIA!BQ16&lt;&gt;"F"),SUMIF($F$13:$J$13,BT$13,$F17:$J17),"")</f>
        <v/>
      </c>
      <c r="BU17" s="168" t="str">
        <f>IF(AND(LEN($D17)&gt;0,SUMIF($F$13:$J$13,BU$13,$F17:$J17)&gt;0,ASISTENCIA!BR16&lt;&gt;"X",ASISTENCIA!BR16&lt;&gt;"L",ASISTENCIA!BR16&lt;&gt;"J",ASISTENCIA!BR16&lt;&gt;"F"),SUMIF($F$13:$J$13,BU$13,$F17:$J17),"")</f>
        <v/>
      </c>
      <c r="BV17" s="168" t="str">
        <f>IF(AND(LEN($D17)&gt;0,SUMIF($F$13:$J$13,BV$13,$F17:$J17)&gt;0,ASISTENCIA!BS16&lt;&gt;"X",ASISTENCIA!BS16&lt;&gt;"L",ASISTENCIA!BS16&lt;&gt;"J",ASISTENCIA!BS16&lt;&gt;"F"),SUMIF($F$13:$J$13,BV$13,$F17:$J17),"")</f>
        <v/>
      </c>
      <c r="BW17" s="168" t="str">
        <f>IF(AND(LEN($D17)&gt;0,SUMIF($F$13:$J$13,BW$13,$F17:$J17)&gt;0,ASISTENCIA!BT16&lt;&gt;"X",ASISTENCIA!BT16&lt;&gt;"L",ASISTENCIA!BT16&lt;&gt;"J",ASISTENCIA!BT16&lt;&gt;"F"),SUMIF($F$13:$J$13,BW$13,$F17:$J17),"")</f>
        <v/>
      </c>
      <c r="BX17" s="168" t="str">
        <f>IF(AND(LEN($D17)&gt;0,SUMIF($F$13:$J$13,BX$13,$F17:$J17)&gt;0,ASISTENCIA!BU16&lt;&gt;"X",ASISTENCIA!BU16&lt;&gt;"L",ASISTENCIA!BU16&lt;&gt;"J",ASISTENCIA!BU16&lt;&gt;"F"),SUMIF($F$13:$J$13,BX$13,$F17:$J17),"")</f>
        <v/>
      </c>
      <c r="BY17" s="168" t="str">
        <f>IF(AND(LEN($D17)&gt;0,SUMIF($F$13:$J$13,BY$13,$F17:$J17)&gt;0,ASISTENCIA!BV16&lt;&gt;"X",ASISTENCIA!BV16&lt;&gt;"L",ASISTENCIA!BV16&lt;&gt;"J",ASISTENCIA!BV16&lt;&gt;"F"),SUMIF($F$13:$J$13,BY$13,$F17:$J17),"")</f>
        <v/>
      </c>
      <c r="BZ17" s="168" t="str">
        <f>IF(AND(LEN($D17)&gt;0,SUMIF($F$13:$J$13,BZ$13,$F17:$J17)&gt;0,ASISTENCIA!BW16&lt;&gt;"X",ASISTENCIA!BW16&lt;&gt;"L",ASISTENCIA!BW16&lt;&gt;"J",ASISTENCIA!BW16&lt;&gt;"F"),SUMIF($F$13:$J$13,BZ$13,$F17:$J17),"")</f>
        <v/>
      </c>
      <c r="CA17" s="168" t="str">
        <f>IF(AND(LEN($D17)&gt;0,SUMIF($F$13:$J$13,CA$13,$F17:$J17)&gt;0,ASISTENCIA!BX16&lt;&gt;"X",ASISTENCIA!BX16&lt;&gt;"L",ASISTENCIA!BX16&lt;&gt;"J",ASISTENCIA!BX16&lt;&gt;"F"),SUMIF($F$13:$J$13,CA$13,$F17:$J17),"")</f>
        <v/>
      </c>
      <c r="CB17" s="168" t="str">
        <f>IF(AND(LEN($D17)&gt;0,SUMIF($F$13:$J$13,CB$13,$F17:$J17)&gt;0,ASISTENCIA!BY16&lt;&gt;"X",ASISTENCIA!BY16&lt;&gt;"L",ASISTENCIA!BY16&lt;&gt;"J",ASISTENCIA!BY16&lt;&gt;"F"),SUMIF($F$13:$J$13,CB$13,$F17:$J17),"")</f>
        <v/>
      </c>
      <c r="CC17" s="182" t="str">
        <f t="shared" si="5"/>
        <v>#ERROR!</v>
      </c>
      <c r="CD17" s="157"/>
    </row>
    <row r="18" ht="12.75" customHeight="1">
      <c r="A18" s="132" t="str">
        <f t="shared" si="6"/>
        <v/>
      </c>
      <c r="B18" s="183" t="str">
        <f>IF(LEN(C18)&gt;0,VLOOKUP($O$4,DATA!$A$1:$S$1,2,FALSE),"")</f>
        <v/>
      </c>
      <c r="C18" s="184" t="str">
        <f t="shared" si="1"/>
        <v/>
      </c>
      <c r="D18" s="136" t="str">
        <f>IF(LEN(ASISTENCIA!E17)&gt;0,ASISTENCIA!E17,"")</f>
        <v/>
      </c>
      <c r="E18" s="167" t="str">
        <f>IF(LEN(D18)&gt;0,ASISTENCIA!F17,"")</f>
        <v/>
      </c>
      <c r="F18" s="180"/>
      <c r="G18" s="180"/>
      <c r="H18" s="180"/>
      <c r="I18" s="180"/>
      <c r="J18" s="180"/>
      <c r="K18" s="168" t="str">
        <f t="shared" si="2"/>
        <v/>
      </c>
      <c r="L18" s="185"/>
      <c r="M18" s="168"/>
      <c r="N18" s="168" t="str">
        <f t="shared" si="3"/>
        <v>#ERROR!</v>
      </c>
      <c r="O18" s="168" t="str">
        <f>IF(AND(LEN($D18)&gt;0,SUMIF($F$13:$J$13,O$13,$F18:$J18)&gt;0,ASISTENCIA!I17&lt;&gt;"X",ASISTENCIA!I17&lt;&gt;"L",ASISTENCIA!I17&lt;&gt;"J",ASISTENCIA!I17&lt;&gt;"V",ASISTENCIA!I17&lt;&gt;"F",ASISTENCIA!I17&lt;&gt;""),SUMIF($F$13:$J$13,O$13,$F18:$J18),"")</f>
        <v/>
      </c>
      <c r="P18" s="168" t="str">
        <f>IF(AND(LEN($D18)&gt;0,SUMIF($F$13:$J$13,P$13,$F18:$J18)&gt;0,ASISTENCIA!J17&lt;&gt;"X",ASISTENCIA!J17&lt;&gt;"L",ASISTENCIA!J17&lt;&gt;"J",ASISTENCIA!J17&lt;&gt;"V",ASISTENCIA!J17&lt;&gt;"F",ASISTENCIA!J17&lt;&gt;""),SUMIF($F$13:$J$13,P$13,$F18:$J18),"")</f>
        <v/>
      </c>
      <c r="Q18" s="168" t="str">
        <f>IF(AND(LEN($D18)&gt;0,SUMIF($F$13:$J$13,Q$13,$F18:$J18)&gt;0,ASISTENCIA!K17&lt;&gt;"X",ASISTENCIA!K17&lt;&gt;"L",ASISTENCIA!K17&lt;&gt;"J",ASISTENCIA!K17&lt;&gt;"V",ASISTENCIA!K17&lt;&gt;"F",ASISTENCIA!K17&lt;&gt;""),SUMIF($F$13:$J$13,Q$13,$F18:$J18),"")</f>
        <v/>
      </c>
      <c r="R18" s="168" t="str">
        <f>IF(AND(LEN($D18)&gt;0,SUMIF($F$13:$J$13,R$13,$F18:$J18)&gt;0,ASISTENCIA!L17&lt;&gt;"X",ASISTENCIA!L17&lt;&gt;"L",ASISTENCIA!L17&lt;&gt;"J",ASISTENCIA!L17&lt;&gt;"V",ASISTENCIA!L17&lt;&gt;"F",ASISTENCIA!L17&lt;&gt;""),SUMIF($F$13:$J$13,R$13,$F18:$J18),"")</f>
        <v/>
      </c>
      <c r="S18" s="168" t="str">
        <f>IF(AND(LEN($D18)&gt;0,SUMIF($F$13:$J$13,S$13,$F18:$J18)&gt;0,ASISTENCIA!M17&lt;&gt;"X",ASISTENCIA!M17&lt;&gt;"L",ASISTENCIA!M17&lt;&gt;"J",ASISTENCIA!M17&lt;&gt;"V",ASISTENCIA!M17&lt;&gt;"F",ASISTENCIA!M17&lt;&gt;""),SUMIF($F$13:$J$13,S$13,$F18:$J18),"")</f>
        <v/>
      </c>
      <c r="T18" s="168" t="str">
        <f>IF(AND(LEN($D18)&gt;0,SUMIF($F$13:$J$13,T$13,$F18:$J18)&gt;0,ASISTENCIA!N17&lt;&gt;"X",ASISTENCIA!N17&lt;&gt;"L",ASISTENCIA!N17&lt;&gt;"J",ASISTENCIA!N17&lt;&gt;"V",ASISTENCIA!N17&lt;&gt;"F",ASISTENCIA!N17&lt;&gt;""),SUMIF($F$13:$J$13,T$13,$F18:$J18),"")</f>
        <v/>
      </c>
      <c r="U18" s="168" t="str">
        <f>IF(AND(LEN($D18)&gt;0,SUMIF($F$13:$J$13,U$13,$F18:$J18)&gt;0,ASISTENCIA!O17&lt;&gt;"X",ASISTENCIA!O17&lt;&gt;"L",ASISTENCIA!O17&lt;&gt;"J",ASISTENCIA!O17&lt;&gt;"V",ASISTENCIA!O17&lt;&gt;"F",ASISTENCIA!O17&lt;&gt;""),SUMIF($F$13:$J$13,U$13,$F18:$J18),"")</f>
        <v/>
      </c>
      <c r="V18" s="168" t="str">
        <f>IF(AND(LEN($D18)&gt;0,SUMIF($F$13:$J$13,V$13,$F18:$J18)&gt;0,ASISTENCIA!P17&lt;&gt;"X",ASISTENCIA!P17&lt;&gt;"L",ASISTENCIA!P17&lt;&gt;"J",ASISTENCIA!P17&lt;&gt;"V",ASISTENCIA!P17&lt;&gt;"F",ASISTENCIA!P17&lt;&gt;""),SUMIF($F$13:$J$13,V$13,$F18:$J18),"")</f>
        <v/>
      </c>
      <c r="W18" s="168" t="str">
        <f>IF(AND(LEN($D18)&gt;0,SUMIF($F$13:$J$13,W$13,$F18:$J18)&gt;0,ASISTENCIA!Q17&lt;&gt;"X",ASISTENCIA!Q17&lt;&gt;"L",ASISTENCIA!Q17&lt;&gt;"J",ASISTENCIA!Q17&lt;&gt;"V",ASISTENCIA!Q17&lt;&gt;"F",ASISTENCIA!Q17&lt;&gt;""),SUMIF($F$13:$J$13,W$13,$F18:$J18),"")</f>
        <v/>
      </c>
      <c r="X18" s="168" t="str">
        <f>IF(AND(LEN($D18)&gt;0,SUMIF($F$13:$J$13,X$13,$F18:$J18)&gt;0,ASISTENCIA!R17&lt;&gt;"X",ASISTENCIA!R17&lt;&gt;"L",ASISTENCIA!R17&lt;&gt;"J",ASISTENCIA!R17&lt;&gt;"V",ASISTENCIA!R17&lt;&gt;"F",ASISTENCIA!R17&lt;&gt;""),SUMIF($F$13:$J$13,X$13,$F18:$J18),"")</f>
        <v/>
      </c>
      <c r="Y18" s="168" t="str">
        <f>IF(AND(LEN($D18)&gt;0,SUMIF($F$13:$J$13,Y$13,$F18:$J18)&gt;0,ASISTENCIA!S17&lt;&gt;"X",ASISTENCIA!S17&lt;&gt;"L",ASISTENCIA!S17&lt;&gt;"J",ASISTENCIA!S17&lt;&gt;"V",ASISTENCIA!S17&lt;&gt;"F",ASISTENCIA!S17&lt;&gt;""),SUMIF($F$13:$J$13,Y$13,$F18:$J18),"")</f>
        <v/>
      </c>
      <c r="Z18" s="168" t="str">
        <f>IF(AND(LEN($D18)&gt;0,SUMIF($F$13:$J$13,Z$13,$F18:$J18)&gt;0,ASISTENCIA!T17&lt;&gt;"X",ASISTENCIA!T17&lt;&gt;"L",ASISTENCIA!T17&lt;&gt;"J",ASISTENCIA!T17&lt;&gt;"V",ASISTENCIA!T17&lt;&gt;"F",ASISTENCIA!T17&lt;&gt;""),SUMIF($F$13:$J$13,Z$13,$F18:$J18),"")</f>
        <v/>
      </c>
      <c r="AA18" s="168" t="str">
        <f>IF(AND(LEN($D18)&gt;0,SUMIF($F$13:$J$13,AA$13,$F18:$J18)&gt;0,ASISTENCIA!U17&lt;&gt;"X",ASISTENCIA!U17&lt;&gt;"L",ASISTENCIA!U17&lt;&gt;"J",ASISTENCIA!U17&lt;&gt;"V",ASISTENCIA!U17&lt;&gt;"F",ASISTENCIA!U17&lt;&gt;""),SUMIF($F$13:$J$13,AA$13,$F18:$J18),"")</f>
        <v/>
      </c>
      <c r="AB18" s="168" t="str">
        <f>IF(AND(LEN($D18)&gt;0,SUMIF($F$13:$J$13,AB$13,$F18:$J18)&gt;0,ASISTENCIA!V17&lt;&gt;"X",ASISTENCIA!V17&lt;&gt;"L",ASISTENCIA!V17&lt;&gt;"J",ASISTENCIA!V17&lt;&gt;"V",ASISTENCIA!V17&lt;&gt;"F",ASISTENCIA!V17&lt;&gt;""),SUMIF($F$13:$J$13,AB$13,$F18:$J18),"")</f>
        <v/>
      </c>
      <c r="AC18" s="168" t="str">
        <f>IF(AND(LEN($D18)&gt;0,SUMIF($F$13:$J$13,AC$13,$F18:$J18)&gt;0,ASISTENCIA!W17&lt;&gt;"X",ASISTENCIA!W17&lt;&gt;"L",ASISTENCIA!W17&lt;&gt;"J",ASISTENCIA!W17&lt;&gt;"V",ASISTENCIA!W17&lt;&gt;"F",ASISTENCIA!W17&lt;&gt;""),SUMIF($F$13:$J$13,AC$13,$F18:$J18),"")</f>
        <v/>
      </c>
      <c r="AD18" s="168" t="str">
        <f>IF(AND(LEN($D18)&gt;0,SUMIF($F$13:$J$13,AD$13,$F18:$J18)&gt;0,ASISTENCIA!X17&lt;&gt;"X",ASISTENCIA!X17&lt;&gt;"L",ASISTENCIA!X17&lt;&gt;"J",ASISTENCIA!X17&lt;&gt;"V",ASISTENCIA!X17&lt;&gt;"F",ASISTENCIA!X17&lt;&gt;""),SUMIF($F$13:$J$13,AD$13,$F18:$J18),"")</f>
        <v/>
      </c>
      <c r="AE18" s="168" t="str">
        <f>IF(AND(LEN($D18)&gt;0,SUMIF($F$13:$J$13,AE$13,$F18:$J18)&gt;0,ASISTENCIA!Y17&lt;&gt;"X",ASISTENCIA!Y17&lt;&gt;"L",ASISTENCIA!Y17&lt;&gt;"J",ASISTENCIA!Y17&lt;&gt;"V",ASISTENCIA!Y17&lt;&gt;"F",ASISTENCIA!Y17&lt;&gt;""),SUMIF($F$13:$J$13,AE$13,$F18:$J18),"")</f>
        <v/>
      </c>
      <c r="AF18" s="168" t="str">
        <f>IF(AND(LEN($D18)&gt;0,SUMIF($F$13:$J$13,AF$13,$F18:$J18)&gt;0,ASISTENCIA!Z17&lt;&gt;"X",ASISTENCIA!Z17&lt;&gt;"L",ASISTENCIA!Z17&lt;&gt;"J",ASISTENCIA!Z17&lt;&gt;"V",ASISTENCIA!Z17&lt;&gt;"F",ASISTENCIA!Z17&lt;&gt;""),SUMIF($F$13:$J$13,AF$13,$F18:$J18),"")</f>
        <v/>
      </c>
      <c r="AG18" s="168" t="str">
        <f>IF(AND(LEN($D18)&gt;0,SUMIF($F$13:$J$13,AG$13,$F18:$J18)&gt;0,ASISTENCIA!AA17&lt;&gt;"X",ASISTENCIA!AA17&lt;&gt;"L",ASISTENCIA!AA17&lt;&gt;"J",ASISTENCIA!AA17&lt;&gt;"V",ASISTENCIA!AA17&lt;&gt;"F",ASISTENCIA!AA17&lt;&gt;""),SUMIF($F$13:$J$13,AG$13,$F18:$J18),"")</f>
        <v/>
      </c>
      <c r="AH18" s="168" t="str">
        <f>IF(AND(LEN($D18)&gt;0,SUMIF($F$13:$J$13,AH$13,$F18:$J18)&gt;0,ASISTENCIA!AB17&lt;&gt;"X",ASISTENCIA!AB17&lt;&gt;"L",ASISTENCIA!AB17&lt;&gt;"J",ASISTENCIA!AB17&lt;&gt;"V",ASISTENCIA!AB17&lt;&gt;"F",ASISTENCIA!AB17&lt;&gt;""),SUMIF($F$13:$J$13,AH$13,$F18:$J18),"")</f>
        <v/>
      </c>
      <c r="AI18" s="168" t="str">
        <f>IF(AND(LEN($D18)&gt;0,SUMIF($F$13:$J$13,AI$13,$F18:$J18)&gt;0,ASISTENCIA!AC17&lt;&gt;"X",ASISTENCIA!AC17&lt;&gt;"L",ASISTENCIA!AC17&lt;&gt;"J",ASISTENCIA!AC17&lt;&gt;"V",ASISTENCIA!AC17&lt;&gt;"F",ASISTENCIA!AC17&lt;&gt;""),SUMIF($F$13:$J$13,AI$13,$F18:$J18),"")</f>
        <v/>
      </c>
      <c r="AJ18" s="168" t="str">
        <f>IF(AND(LEN($D18)&gt;0,SUMIF($F$13:$J$13,AJ$13,$F18:$J18)&gt;0,ASISTENCIA!AD17&lt;&gt;"X",ASISTENCIA!AD17&lt;&gt;"L",ASISTENCIA!AD17&lt;&gt;"J",ASISTENCIA!AD17&lt;&gt;"V",ASISTENCIA!AD17&lt;&gt;"F",ASISTENCIA!AD17&lt;&gt;""),SUMIF($F$13:$J$13,AJ$13,$F18:$J18),"")</f>
        <v/>
      </c>
      <c r="AK18" s="168" t="str">
        <f>IF(AND(LEN($D18)&gt;0,SUMIF($F$13:$J$13,AK$13,$F18:$J18)&gt;0,ASISTENCIA!AE17&lt;&gt;"X",ASISTENCIA!AE17&lt;&gt;"L",ASISTENCIA!AE17&lt;&gt;"J",ASISTENCIA!AE17&lt;&gt;"V",ASISTENCIA!AE17&lt;&gt;"F",ASISTENCIA!AE17&lt;&gt;""),SUMIF($F$13:$J$13,AK$13,$F18:$J18),"")</f>
        <v/>
      </c>
      <c r="AL18" s="168" t="str">
        <f>IF(AND(LEN($D18)&gt;0,SUMIF($F$13:$J$13,AL$13,$F18:$J18)&gt;0,ASISTENCIA!AF17&lt;&gt;"X",ASISTENCIA!AF17&lt;&gt;"L",ASISTENCIA!AF17&lt;&gt;"J",ASISTENCIA!AF17&lt;&gt;"V",ASISTENCIA!AF17&lt;&gt;"F",ASISTENCIA!AF17&lt;&gt;""),SUMIF($F$13:$J$13,AL$13,$F18:$J18),"")</f>
        <v/>
      </c>
      <c r="AM18" s="168" t="str">
        <f>IF(AND(LEN($D18)&gt;0,SUMIF($F$13:$J$13,AM$13,$F18:$J18)&gt;0,ASISTENCIA!AG17&lt;&gt;"X",ASISTENCIA!AG17&lt;&gt;"L",ASISTENCIA!AG17&lt;&gt;"J",ASISTENCIA!AG17&lt;&gt;"V",ASISTENCIA!AG17&lt;&gt;"F",ASISTENCIA!AG17&lt;&gt;""),SUMIF($F$13:$J$13,AM$13,$F18:$J18),"")</f>
        <v/>
      </c>
      <c r="AN18" s="168" t="str">
        <f>IF(AND(LEN($D18)&gt;0,SUMIF($F$13:$J$13,AN$13,$F18:$J18)&gt;0,ASISTENCIA!AH17&lt;&gt;"X",ASISTENCIA!AH17&lt;&gt;"L",ASISTENCIA!AH17&lt;&gt;"J",ASISTENCIA!AH17&lt;&gt;"V",ASISTENCIA!AH17&lt;&gt;"F",ASISTENCIA!AH17&lt;&gt;""),SUMIF($F$13:$J$13,AN$13,$F18:$J18),"")</f>
        <v/>
      </c>
      <c r="AO18" s="168" t="str">
        <f>IF(AND(LEN($D18)&gt;0,SUMIF($F$13:$J$13,AO$13,$F18:$J18)&gt;0,ASISTENCIA!AI17&lt;&gt;"X",ASISTENCIA!AI17&lt;&gt;"L",ASISTENCIA!AI17&lt;&gt;"J",ASISTENCIA!AI17&lt;&gt;"V",ASISTENCIA!AI17&lt;&gt;"F",ASISTENCIA!AI17&lt;&gt;""),SUMIF($F$13:$J$13,AO$13,$F18:$J18),"")</f>
        <v/>
      </c>
      <c r="AP18" s="168" t="str">
        <f>IF(AND(LEN($D18)&gt;0,SUMIF($F$13:$J$13,AP$13,$F18:$J18)&gt;0,ASISTENCIA!AJ17&lt;&gt;"X",ASISTENCIA!AJ17&lt;&gt;"L",ASISTENCIA!AJ17&lt;&gt;"J",ASISTENCIA!AJ17&lt;&gt;"V",ASISTENCIA!AJ17&lt;&gt;"F",ASISTENCIA!AJ17&lt;&gt;""),SUMIF($F$13:$J$13,AP$13,$F18:$J18),"")</f>
        <v/>
      </c>
      <c r="AQ18" s="168" t="str">
        <f>IF(AND(LEN($D18)&gt;0,SUMIF($F$13:$J$13,AQ$13,$F18:$J18)&gt;0,ASISTENCIA!AK17&lt;&gt;"X",ASISTENCIA!AK17&lt;&gt;"L",ASISTENCIA!AK17&lt;&gt;"J",ASISTENCIA!AK17&lt;&gt;"V",ASISTENCIA!AK17&lt;&gt;"F",ASISTENCIA!AK17&lt;&gt;""),SUMIF($F$13:$J$13,AQ$13,$F18:$J18),"")</f>
        <v/>
      </c>
      <c r="AR18" s="168" t="str">
        <f>IF(AND(LEN($D18)&gt;0,SUMIF($F$13:$J$13,AR$13,$F18:$J18)&gt;0,ASISTENCIA!AL17&lt;&gt;"X",ASISTENCIA!AL17&lt;&gt;"L",ASISTENCIA!AL17&lt;&gt;"J",ASISTENCIA!AL17&lt;&gt;"V",ASISTENCIA!AL17&lt;&gt;"F",ASISTENCIA!AL17&lt;&gt;""),SUMIF($F$13:$J$13,AR$13,$F18:$J18),"")</f>
        <v/>
      </c>
      <c r="AS18" s="168" t="str">
        <f>IF(AND(LEN($D18)&gt;0,SUMIF($F$13:$J$13,AS$13,$F18:$J18)&gt;0,ASISTENCIA!AM17&lt;&gt;"X",ASISTENCIA!AM17&lt;&gt;"L",ASISTENCIA!AM17&lt;&gt;"J",ASISTENCIA!AM17&lt;&gt;"V",ASISTENCIA!AM17&lt;&gt;"F",ASISTENCIA!AM17&lt;&gt;""),SUMIF($F$13:$J$13,AS$13,$F18:$J18),"")</f>
        <v/>
      </c>
      <c r="AT18" s="182" t="str">
        <f t="shared" si="4"/>
        <v/>
      </c>
      <c r="AU18" s="157"/>
      <c r="AV18" s="157"/>
      <c r="AW18" s="157"/>
      <c r="AX18" s="168" t="str">
        <f>IF(AND(LEN($D18)&gt;0,SUMIF($F$13:$J$13,AX$13,$F18:$J18)&gt;0,ASISTENCIA!AU17&lt;&gt;"X",ASISTENCIA!AU17&lt;&gt;"L",ASISTENCIA!AU17&lt;&gt;"J",ASISTENCIA!AU17&lt;&gt;"F"),SUMIF($F$13:$J$13,AX$13,$F18:$J18),"")</f>
        <v/>
      </c>
      <c r="AY18" s="168" t="str">
        <f>IF(AND(LEN($D18)&gt;0,SUMIF($F$13:$J$13,AY$13,$F18:$J18)&gt;0,ASISTENCIA!AV17&lt;&gt;"X",ASISTENCIA!AV17&lt;&gt;"L",ASISTENCIA!AV17&lt;&gt;"J",ASISTENCIA!AV17&lt;&gt;"F"),SUMIF($F$13:$J$13,AY$13,$F18:$J18),"")</f>
        <v/>
      </c>
      <c r="AZ18" s="168" t="str">
        <f>IF(AND(LEN($D18)&gt;0,SUMIF($F$13:$J$13,AZ$13,$F18:$J18)&gt;0,ASISTENCIA!AW17&lt;&gt;"X",ASISTENCIA!AW17&lt;&gt;"L",ASISTENCIA!AW17&lt;&gt;"J",ASISTENCIA!AW17&lt;&gt;"F"),SUMIF($F$13:$J$13,AZ$13,$F18:$J18),"")</f>
        <v/>
      </c>
      <c r="BA18" s="168" t="str">
        <f>IF(AND(LEN($D18)&gt;0,SUMIF($F$13:$J$13,BA$13,$F18:$J18)&gt;0,ASISTENCIA!AX17&lt;&gt;"X",ASISTENCIA!AX17&lt;&gt;"L",ASISTENCIA!AX17&lt;&gt;"J",ASISTENCIA!AX17&lt;&gt;"F"),SUMIF($F$13:$J$13,BA$13,$F18:$J18),"")</f>
        <v/>
      </c>
      <c r="BB18" s="168" t="str">
        <f>IF(AND(LEN($D18)&gt;0,SUMIF($F$13:$J$13,BB$13,$F18:$J18)&gt;0,ASISTENCIA!AY17&lt;&gt;"X",ASISTENCIA!AY17&lt;&gt;"L",ASISTENCIA!AY17&lt;&gt;"J",ASISTENCIA!AY17&lt;&gt;"F"),SUMIF($F$13:$J$13,BB$13,$F18:$J18),"")</f>
        <v/>
      </c>
      <c r="BC18" s="168" t="str">
        <f>IF(AND(LEN($D18)&gt;0,SUMIF($F$13:$J$13,BC$13,$F18:$J18)&gt;0,ASISTENCIA!AZ17&lt;&gt;"X",ASISTENCIA!AZ17&lt;&gt;"L",ASISTENCIA!AZ17&lt;&gt;"J",ASISTENCIA!AZ17&lt;&gt;"F"),SUMIF($F$13:$J$13,BC$13,$F18:$J18),"")</f>
        <v/>
      </c>
      <c r="BD18" s="168" t="str">
        <f>IF(AND(LEN($D18)&gt;0,SUMIF($F$13:$J$13,BD$13,$F18:$J18)&gt;0,ASISTENCIA!BA17&lt;&gt;"X",ASISTENCIA!BA17&lt;&gt;"L",ASISTENCIA!BA17&lt;&gt;"J",ASISTENCIA!BA17&lt;&gt;"F"),SUMIF($F$13:$J$13,BD$13,$F18:$J18),"")</f>
        <v/>
      </c>
      <c r="BE18" s="168" t="str">
        <f>IF(AND(LEN($D18)&gt;0,SUMIF($F$13:$J$13,BE$13,$F18:$J18)&gt;0,ASISTENCIA!BB17&lt;&gt;"X",ASISTENCIA!BB17&lt;&gt;"L",ASISTENCIA!BB17&lt;&gt;"J",ASISTENCIA!BB17&lt;&gt;"F"),SUMIF($F$13:$J$13,BE$13,$F18:$J18),"")</f>
        <v/>
      </c>
      <c r="BF18" s="168" t="str">
        <f>IF(AND(LEN($D18)&gt;0,SUMIF($F$13:$J$13,BF$13,$F18:$J18)&gt;0,ASISTENCIA!#REF!&lt;&gt;"X",ASISTENCIA!#REF!&lt;&gt;"L",ASISTENCIA!#REF!&lt;&gt;"J",ASISTENCIA!#REF!&lt;&gt;"F"),SUMIF($F$13:$J$13,BF$13,$F18:$J18),"")</f>
        <v>#ERROR!</v>
      </c>
      <c r="BG18" s="168" t="str">
        <f>IF(AND(LEN($D18)&gt;0,SUMIF($F$13:$J$13,BG$13,$F18:$J18)&gt;0,ASISTENCIA!#REF!&lt;&gt;"X",ASISTENCIA!#REF!&lt;&gt;"L",ASISTENCIA!#REF!&lt;&gt;"J",ASISTENCIA!#REF!&lt;&gt;"F"),SUMIF($F$13:$J$13,BG$13,$F18:$J18),"")</f>
        <v>#ERROR!</v>
      </c>
      <c r="BH18" s="168" t="str">
        <f>IF(AND(LEN($D18)&gt;0,SUMIF($F$13:$J$13,BH$13,$F18:$J18)&gt;0,ASISTENCIA!BE17&lt;&gt;"X",ASISTENCIA!BE17&lt;&gt;"L",ASISTENCIA!BE17&lt;&gt;"J",ASISTENCIA!BE17&lt;&gt;"F"),SUMIF($F$13:$J$13,BH$13,$F18:$J18),"")</f>
        <v/>
      </c>
      <c r="BI18" s="168" t="str">
        <f>IF(AND(LEN($D18)&gt;0,SUMIF($F$13:$J$13,BI$13,$F18:$J18)&gt;0,ASISTENCIA!BF17&lt;&gt;"X",ASISTENCIA!BF17&lt;&gt;"L",ASISTENCIA!BF17&lt;&gt;"J",ASISTENCIA!BF17&lt;&gt;"F"),SUMIF($F$13:$J$13,BI$13,$F18:$J18),"")</f>
        <v/>
      </c>
      <c r="BJ18" s="168" t="str">
        <f>IF(AND(LEN($D18)&gt;0,SUMIF($F$13:$J$13,BJ$13,$F18:$J18)&gt;0,ASISTENCIA!BG17&lt;&gt;"X",ASISTENCIA!BG17&lt;&gt;"L",ASISTENCIA!BG17&lt;&gt;"J",ASISTENCIA!BG17&lt;&gt;"F"),SUMIF($F$13:$J$13,BJ$13,$F18:$J18),"")</f>
        <v/>
      </c>
      <c r="BK18" s="168" t="str">
        <f>IF(AND(LEN($D18)&gt;0,SUMIF($F$13:$J$13,BK$13,$F18:$J18)&gt;0,ASISTENCIA!BH17&lt;&gt;"X",ASISTENCIA!BH17&lt;&gt;"L",ASISTENCIA!BH17&lt;&gt;"J",ASISTENCIA!BH17&lt;&gt;"F"),SUMIF($F$13:$J$13,BK$13,$F18:$J18),"")</f>
        <v/>
      </c>
      <c r="BL18" s="168" t="str">
        <f>IF(AND(LEN($D18)&gt;0,SUMIF($F$13:$J$13,BL$13,$F18:$J18)&gt;0,ASISTENCIA!BI17&lt;&gt;"X",ASISTENCIA!BI17&lt;&gt;"L",ASISTENCIA!BI17&lt;&gt;"J",ASISTENCIA!BI17&lt;&gt;"F"),SUMIF($F$13:$J$13,BL$13,$F18:$J18),"")</f>
        <v/>
      </c>
      <c r="BM18" s="168" t="str">
        <f>IF(AND(LEN($D18)&gt;0,SUMIF($F$13:$J$13,BM$13,$F18:$J18)&gt;0,ASISTENCIA!BJ17&lt;&gt;"X",ASISTENCIA!BJ17&lt;&gt;"L",ASISTENCIA!BJ17&lt;&gt;"J",ASISTENCIA!BJ17&lt;&gt;"F"),SUMIF($F$13:$J$13,BM$13,$F18:$J18),"")</f>
        <v/>
      </c>
      <c r="BN18" s="168" t="str">
        <f>IF(AND(LEN($D18)&gt;0,SUMIF($F$13:$J$13,BN$13,$F18:$J18)&gt;0,ASISTENCIA!BK17&lt;&gt;"X",ASISTENCIA!BK17&lt;&gt;"L",ASISTENCIA!BK17&lt;&gt;"J",ASISTENCIA!BK17&lt;&gt;"F"),SUMIF($F$13:$J$13,BN$13,$F18:$J18),"")</f>
        <v/>
      </c>
      <c r="BO18" s="168" t="str">
        <f>IF(AND(LEN($D18)&gt;0,SUMIF($F$13:$J$13,BO$13,$F18:$J18)&gt;0,ASISTENCIA!BL17&lt;&gt;"X",ASISTENCIA!BL17&lt;&gt;"L",ASISTENCIA!BL17&lt;&gt;"J",ASISTENCIA!BL17&lt;&gt;"F"),SUMIF($F$13:$J$13,BO$13,$F18:$J18),"")</f>
        <v/>
      </c>
      <c r="BP18" s="168" t="str">
        <f>IF(AND(LEN($D18)&gt;0,SUMIF($F$13:$J$13,BP$13,$F18:$J18)&gt;0,ASISTENCIA!BM17&lt;&gt;"X",ASISTENCIA!BM17&lt;&gt;"L",ASISTENCIA!BM17&lt;&gt;"J",ASISTENCIA!BM17&lt;&gt;"F"),SUMIF($F$13:$J$13,BP$13,$F18:$J18),"")</f>
        <v/>
      </c>
      <c r="BQ18" s="168" t="str">
        <f>IF(AND(LEN($D18)&gt;0,SUMIF($F$13:$J$13,BQ$13,$F18:$J18)&gt;0,ASISTENCIA!BN17&lt;&gt;"X",ASISTENCIA!BN17&lt;&gt;"L",ASISTENCIA!BN17&lt;&gt;"J",ASISTENCIA!BN17&lt;&gt;"F"),SUMIF($F$13:$J$13,BQ$13,$F18:$J18),"")</f>
        <v/>
      </c>
      <c r="BR18" s="168" t="str">
        <f>IF(AND(LEN($D18)&gt;0,SUMIF($F$13:$J$13,BR$13,$F18:$J18)&gt;0,ASISTENCIA!BO17&lt;&gt;"X",ASISTENCIA!BO17&lt;&gt;"L",ASISTENCIA!BO17&lt;&gt;"J",ASISTENCIA!BO17&lt;&gt;"F"),SUMIF($F$13:$J$13,BR$13,$F18:$J18),"")</f>
        <v/>
      </c>
      <c r="BS18" s="168" t="str">
        <f>IF(AND(LEN($D18)&gt;0,SUMIF($F$13:$J$13,BS$13,$F18:$J18)&gt;0,ASISTENCIA!BP17&lt;&gt;"X",ASISTENCIA!BP17&lt;&gt;"L",ASISTENCIA!BP17&lt;&gt;"J",ASISTENCIA!BP17&lt;&gt;"F"),SUMIF($F$13:$J$13,BS$13,$F18:$J18),"")</f>
        <v/>
      </c>
      <c r="BT18" s="168" t="str">
        <f>IF(AND(LEN($D18)&gt;0,SUMIF($F$13:$J$13,BT$13,$F18:$J18)&gt;0,ASISTENCIA!BQ17&lt;&gt;"X",ASISTENCIA!BQ17&lt;&gt;"L",ASISTENCIA!BQ17&lt;&gt;"J",ASISTENCIA!BQ17&lt;&gt;"F"),SUMIF($F$13:$J$13,BT$13,$F18:$J18),"")</f>
        <v/>
      </c>
      <c r="BU18" s="168" t="str">
        <f>IF(AND(LEN($D18)&gt;0,SUMIF($F$13:$J$13,BU$13,$F18:$J18)&gt;0,ASISTENCIA!BR17&lt;&gt;"X",ASISTENCIA!BR17&lt;&gt;"L",ASISTENCIA!BR17&lt;&gt;"J",ASISTENCIA!BR17&lt;&gt;"F"),SUMIF($F$13:$J$13,BU$13,$F18:$J18),"")</f>
        <v/>
      </c>
      <c r="BV18" s="168" t="str">
        <f>IF(AND(LEN($D18)&gt;0,SUMIF($F$13:$J$13,BV$13,$F18:$J18)&gt;0,ASISTENCIA!BS17&lt;&gt;"X",ASISTENCIA!BS17&lt;&gt;"L",ASISTENCIA!BS17&lt;&gt;"J",ASISTENCIA!BS17&lt;&gt;"F"),SUMIF($F$13:$J$13,BV$13,$F18:$J18),"")</f>
        <v/>
      </c>
      <c r="BW18" s="168" t="str">
        <f>IF(AND(LEN($D18)&gt;0,SUMIF($F$13:$J$13,BW$13,$F18:$J18)&gt;0,ASISTENCIA!BT17&lt;&gt;"X",ASISTENCIA!BT17&lt;&gt;"L",ASISTENCIA!BT17&lt;&gt;"J",ASISTENCIA!BT17&lt;&gt;"F"),SUMIF($F$13:$J$13,BW$13,$F18:$J18),"")</f>
        <v/>
      </c>
      <c r="BX18" s="168" t="str">
        <f>IF(AND(LEN($D18)&gt;0,SUMIF($F$13:$J$13,BX$13,$F18:$J18)&gt;0,ASISTENCIA!BU17&lt;&gt;"X",ASISTENCIA!BU17&lt;&gt;"L",ASISTENCIA!BU17&lt;&gt;"J",ASISTENCIA!BU17&lt;&gt;"F"),SUMIF($F$13:$J$13,BX$13,$F18:$J18),"")</f>
        <v/>
      </c>
      <c r="BY18" s="168" t="str">
        <f>IF(AND(LEN($D18)&gt;0,SUMIF($F$13:$J$13,BY$13,$F18:$J18)&gt;0,ASISTENCIA!BV17&lt;&gt;"X",ASISTENCIA!BV17&lt;&gt;"L",ASISTENCIA!BV17&lt;&gt;"J",ASISTENCIA!BV17&lt;&gt;"F"),SUMIF($F$13:$J$13,BY$13,$F18:$J18),"")</f>
        <v/>
      </c>
      <c r="BZ18" s="168" t="str">
        <f>IF(AND(LEN($D18)&gt;0,SUMIF($F$13:$J$13,BZ$13,$F18:$J18)&gt;0,ASISTENCIA!BW17&lt;&gt;"X",ASISTENCIA!BW17&lt;&gt;"L",ASISTENCIA!BW17&lt;&gt;"J",ASISTENCIA!BW17&lt;&gt;"F"),SUMIF($F$13:$J$13,BZ$13,$F18:$J18),"")</f>
        <v/>
      </c>
      <c r="CA18" s="168" t="str">
        <f>IF(AND(LEN($D18)&gt;0,SUMIF($F$13:$J$13,CA$13,$F18:$J18)&gt;0,ASISTENCIA!BX17&lt;&gt;"X",ASISTENCIA!BX17&lt;&gt;"L",ASISTENCIA!BX17&lt;&gt;"J",ASISTENCIA!BX17&lt;&gt;"F"),SUMIF($F$13:$J$13,CA$13,$F18:$J18),"")</f>
        <v/>
      </c>
      <c r="CB18" s="168" t="str">
        <f>IF(AND(LEN($D18)&gt;0,SUMIF($F$13:$J$13,CB$13,$F18:$J18)&gt;0,ASISTENCIA!BY17&lt;&gt;"X",ASISTENCIA!BY17&lt;&gt;"L",ASISTENCIA!BY17&lt;&gt;"J",ASISTENCIA!BY17&lt;&gt;"F"),SUMIF($F$13:$J$13,CB$13,$F18:$J18),"")</f>
        <v/>
      </c>
      <c r="CC18" s="182" t="str">
        <f t="shared" si="5"/>
        <v>#ERROR!</v>
      </c>
      <c r="CD18" s="157"/>
    </row>
    <row r="19" ht="12.75" customHeight="1">
      <c r="A19" s="132" t="str">
        <f t="shared" si="6"/>
        <v/>
      </c>
      <c r="B19" s="183" t="str">
        <f>IF(LEN(C19)&gt;0,VLOOKUP($O$4,DATA!$A$1:$S$1,2,FALSE),"")</f>
        <v/>
      </c>
      <c r="C19" s="184" t="str">
        <f t="shared" si="1"/>
        <v/>
      </c>
      <c r="D19" s="136" t="str">
        <f>IF(LEN(ASISTENCIA!E18)&gt;0,ASISTENCIA!E18,"")</f>
        <v/>
      </c>
      <c r="E19" s="167" t="str">
        <f>IF(LEN(D19)&gt;0,ASISTENCIA!F18,"")</f>
        <v/>
      </c>
      <c r="F19" s="180"/>
      <c r="G19" s="180"/>
      <c r="H19" s="180"/>
      <c r="I19" s="180"/>
      <c r="J19" s="180"/>
      <c r="K19" s="168" t="str">
        <f t="shared" si="2"/>
        <v/>
      </c>
      <c r="L19" s="185"/>
      <c r="M19" s="168"/>
      <c r="N19" s="168" t="str">
        <f t="shared" si="3"/>
        <v>#ERROR!</v>
      </c>
      <c r="O19" s="168" t="str">
        <f>IF(AND(LEN($D19)&gt;0,SUMIF($F$13:$J$13,O$13,$F19:$J19)&gt;0,ASISTENCIA!I18&lt;&gt;"X",ASISTENCIA!I18&lt;&gt;"L",ASISTENCIA!I18&lt;&gt;"J",ASISTENCIA!I18&lt;&gt;"V",ASISTENCIA!I18&lt;&gt;"F",ASISTENCIA!I18&lt;&gt;""),SUMIF($F$13:$J$13,O$13,$F19:$J19),"")</f>
        <v/>
      </c>
      <c r="P19" s="168" t="str">
        <f>IF(AND(LEN($D19)&gt;0,SUMIF($F$13:$J$13,P$13,$F19:$J19)&gt;0,ASISTENCIA!J18&lt;&gt;"X",ASISTENCIA!J18&lt;&gt;"L",ASISTENCIA!J18&lt;&gt;"J",ASISTENCIA!J18&lt;&gt;"V",ASISTENCIA!J18&lt;&gt;"F",ASISTENCIA!J18&lt;&gt;""),SUMIF($F$13:$J$13,P$13,$F19:$J19),"")</f>
        <v/>
      </c>
      <c r="Q19" s="168" t="str">
        <f>IF(AND(LEN($D19)&gt;0,SUMIF($F$13:$J$13,Q$13,$F19:$J19)&gt;0,ASISTENCIA!K18&lt;&gt;"X",ASISTENCIA!K18&lt;&gt;"L",ASISTENCIA!K18&lt;&gt;"J",ASISTENCIA!K18&lt;&gt;"V",ASISTENCIA!K18&lt;&gt;"F",ASISTENCIA!K18&lt;&gt;""),SUMIF($F$13:$J$13,Q$13,$F19:$J19),"")</f>
        <v/>
      </c>
      <c r="R19" s="168" t="str">
        <f>IF(AND(LEN($D19)&gt;0,SUMIF($F$13:$J$13,R$13,$F19:$J19)&gt;0,ASISTENCIA!L18&lt;&gt;"X",ASISTENCIA!L18&lt;&gt;"L",ASISTENCIA!L18&lt;&gt;"J",ASISTENCIA!L18&lt;&gt;"V",ASISTENCIA!L18&lt;&gt;"F",ASISTENCIA!L18&lt;&gt;""),SUMIF($F$13:$J$13,R$13,$F19:$J19),"")</f>
        <v/>
      </c>
      <c r="S19" s="168" t="str">
        <f>IF(AND(LEN($D19)&gt;0,SUMIF($F$13:$J$13,S$13,$F19:$J19)&gt;0,ASISTENCIA!M18&lt;&gt;"X",ASISTENCIA!M18&lt;&gt;"L",ASISTENCIA!M18&lt;&gt;"J",ASISTENCIA!M18&lt;&gt;"V",ASISTENCIA!M18&lt;&gt;"F",ASISTENCIA!M18&lt;&gt;""),SUMIF($F$13:$J$13,S$13,$F19:$J19),"")</f>
        <v/>
      </c>
      <c r="T19" s="168" t="str">
        <f>IF(AND(LEN($D19)&gt;0,SUMIF($F$13:$J$13,T$13,$F19:$J19)&gt;0,ASISTENCIA!N18&lt;&gt;"X",ASISTENCIA!N18&lt;&gt;"L",ASISTENCIA!N18&lt;&gt;"J",ASISTENCIA!N18&lt;&gt;"V",ASISTENCIA!N18&lt;&gt;"F",ASISTENCIA!N18&lt;&gt;""),SUMIF($F$13:$J$13,T$13,$F19:$J19),"")</f>
        <v/>
      </c>
      <c r="U19" s="168" t="str">
        <f>IF(AND(LEN($D19)&gt;0,SUMIF($F$13:$J$13,U$13,$F19:$J19)&gt;0,ASISTENCIA!O18&lt;&gt;"X",ASISTENCIA!O18&lt;&gt;"L",ASISTENCIA!O18&lt;&gt;"J",ASISTENCIA!O18&lt;&gt;"V",ASISTENCIA!O18&lt;&gt;"F",ASISTENCIA!O18&lt;&gt;""),SUMIF($F$13:$J$13,U$13,$F19:$J19),"")</f>
        <v/>
      </c>
      <c r="V19" s="168" t="str">
        <f>IF(AND(LEN($D19)&gt;0,SUMIF($F$13:$J$13,V$13,$F19:$J19)&gt;0,ASISTENCIA!P18&lt;&gt;"X",ASISTENCIA!P18&lt;&gt;"L",ASISTENCIA!P18&lt;&gt;"J",ASISTENCIA!P18&lt;&gt;"V",ASISTENCIA!P18&lt;&gt;"F",ASISTENCIA!P18&lt;&gt;""),SUMIF($F$13:$J$13,V$13,$F19:$J19),"")</f>
        <v/>
      </c>
      <c r="W19" s="168" t="str">
        <f>IF(AND(LEN($D19)&gt;0,SUMIF($F$13:$J$13,W$13,$F19:$J19)&gt;0,ASISTENCIA!Q18&lt;&gt;"X",ASISTENCIA!Q18&lt;&gt;"L",ASISTENCIA!Q18&lt;&gt;"J",ASISTENCIA!Q18&lt;&gt;"V",ASISTENCIA!Q18&lt;&gt;"F",ASISTENCIA!Q18&lt;&gt;""),SUMIF($F$13:$J$13,W$13,$F19:$J19),"")</f>
        <v/>
      </c>
      <c r="X19" s="168" t="str">
        <f>IF(AND(LEN($D19)&gt;0,SUMIF($F$13:$J$13,X$13,$F19:$J19)&gt;0,ASISTENCIA!R18&lt;&gt;"X",ASISTENCIA!R18&lt;&gt;"L",ASISTENCIA!R18&lt;&gt;"J",ASISTENCIA!R18&lt;&gt;"V",ASISTENCIA!R18&lt;&gt;"F",ASISTENCIA!R18&lt;&gt;""),SUMIF($F$13:$J$13,X$13,$F19:$J19),"")</f>
        <v/>
      </c>
      <c r="Y19" s="168" t="str">
        <f>IF(AND(LEN($D19)&gt;0,SUMIF($F$13:$J$13,Y$13,$F19:$J19)&gt;0,ASISTENCIA!S18&lt;&gt;"X",ASISTENCIA!S18&lt;&gt;"L",ASISTENCIA!S18&lt;&gt;"J",ASISTENCIA!S18&lt;&gt;"V",ASISTENCIA!S18&lt;&gt;"F",ASISTENCIA!S18&lt;&gt;""),SUMIF($F$13:$J$13,Y$13,$F19:$J19),"")</f>
        <v/>
      </c>
      <c r="Z19" s="168" t="str">
        <f>IF(AND(LEN($D19)&gt;0,SUMIF($F$13:$J$13,Z$13,$F19:$J19)&gt;0,ASISTENCIA!T18&lt;&gt;"X",ASISTENCIA!T18&lt;&gt;"L",ASISTENCIA!T18&lt;&gt;"J",ASISTENCIA!T18&lt;&gt;"V",ASISTENCIA!T18&lt;&gt;"F",ASISTENCIA!T18&lt;&gt;""),SUMIF($F$13:$J$13,Z$13,$F19:$J19),"")</f>
        <v/>
      </c>
      <c r="AA19" s="168" t="str">
        <f>IF(AND(LEN($D19)&gt;0,SUMIF($F$13:$J$13,AA$13,$F19:$J19)&gt;0,ASISTENCIA!U18&lt;&gt;"X",ASISTENCIA!U18&lt;&gt;"L",ASISTENCIA!U18&lt;&gt;"J",ASISTENCIA!U18&lt;&gt;"V",ASISTENCIA!U18&lt;&gt;"F",ASISTENCIA!U18&lt;&gt;""),SUMIF($F$13:$J$13,AA$13,$F19:$J19),"")</f>
        <v/>
      </c>
      <c r="AB19" s="168" t="str">
        <f>IF(AND(LEN($D19)&gt;0,SUMIF($F$13:$J$13,AB$13,$F19:$J19)&gt;0,ASISTENCIA!V18&lt;&gt;"X",ASISTENCIA!V18&lt;&gt;"L",ASISTENCIA!V18&lt;&gt;"J",ASISTENCIA!V18&lt;&gt;"V",ASISTENCIA!V18&lt;&gt;"F",ASISTENCIA!V18&lt;&gt;""),SUMIF($F$13:$J$13,AB$13,$F19:$J19),"")</f>
        <v/>
      </c>
      <c r="AC19" s="168" t="str">
        <f>IF(AND(LEN($D19)&gt;0,SUMIF($F$13:$J$13,AC$13,$F19:$J19)&gt;0,ASISTENCIA!W18&lt;&gt;"X",ASISTENCIA!W18&lt;&gt;"L",ASISTENCIA!W18&lt;&gt;"J",ASISTENCIA!W18&lt;&gt;"V",ASISTENCIA!W18&lt;&gt;"F",ASISTENCIA!W18&lt;&gt;""),SUMIF($F$13:$J$13,AC$13,$F19:$J19),"")</f>
        <v/>
      </c>
      <c r="AD19" s="168" t="str">
        <f>IF(AND(LEN($D19)&gt;0,SUMIF($F$13:$J$13,AD$13,$F19:$J19)&gt;0,ASISTENCIA!X18&lt;&gt;"X",ASISTENCIA!X18&lt;&gt;"L",ASISTENCIA!X18&lt;&gt;"J",ASISTENCIA!X18&lt;&gt;"V",ASISTENCIA!X18&lt;&gt;"F",ASISTENCIA!X18&lt;&gt;""),SUMIF($F$13:$J$13,AD$13,$F19:$J19),"")</f>
        <v/>
      </c>
      <c r="AE19" s="168" t="str">
        <f>IF(AND(LEN($D19)&gt;0,SUMIF($F$13:$J$13,AE$13,$F19:$J19)&gt;0,ASISTENCIA!Y18&lt;&gt;"X",ASISTENCIA!Y18&lt;&gt;"L",ASISTENCIA!Y18&lt;&gt;"J",ASISTENCIA!Y18&lt;&gt;"V",ASISTENCIA!Y18&lt;&gt;"F",ASISTENCIA!Y18&lt;&gt;""),SUMIF($F$13:$J$13,AE$13,$F19:$J19),"")</f>
        <v/>
      </c>
      <c r="AF19" s="168" t="str">
        <f>IF(AND(LEN($D19)&gt;0,SUMIF($F$13:$J$13,AF$13,$F19:$J19)&gt;0,ASISTENCIA!Z18&lt;&gt;"X",ASISTENCIA!Z18&lt;&gt;"L",ASISTENCIA!Z18&lt;&gt;"J",ASISTENCIA!Z18&lt;&gt;"V",ASISTENCIA!Z18&lt;&gt;"F",ASISTENCIA!Z18&lt;&gt;""),SUMIF($F$13:$J$13,AF$13,$F19:$J19),"")</f>
        <v/>
      </c>
      <c r="AG19" s="168" t="str">
        <f>IF(AND(LEN($D19)&gt;0,SUMIF($F$13:$J$13,AG$13,$F19:$J19)&gt;0,ASISTENCIA!AA18&lt;&gt;"X",ASISTENCIA!AA18&lt;&gt;"L",ASISTENCIA!AA18&lt;&gt;"J",ASISTENCIA!AA18&lt;&gt;"V",ASISTENCIA!AA18&lt;&gt;"F",ASISTENCIA!AA18&lt;&gt;""),SUMIF($F$13:$J$13,AG$13,$F19:$J19),"")</f>
        <v/>
      </c>
      <c r="AH19" s="168" t="str">
        <f>IF(AND(LEN($D19)&gt;0,SUMIF($F$13:$J$13,AH$13,$F19:$J19)&gt;0,ASISTENCIA!AB18&lt;&gt;"X",ASISTENCIA!AB18&lt;&gt;"L",ASISTENCIA!AB18&lt;&gt;"J",ASISTENCIA!AB18&lt;&gt;"V",ASISTENCIA!AB18&lt;&gt;"F",ASISTENCIA!AB18&lt;&gt;""),SUMIF($F$13:$J$13,AH$13,$F19:$J19),"")</f>
        <v/>
      </c>
      <c r="AI19" s="168" t="str">
        <f>IF(AND(LEN($D19)&gt;0,SUMIF($F$13:$J$13,AI$13,$F19:$J19)&gt;0,ASISTENCIA!AC18&lt;&gt;"X",ASISTENCIA!AC18&lt;&gt;"L",ASISTENCIA!AC18&lt;&gt;"J",ASISTENCIA!AC18&lt;&gt;"V",ASISTENCIA!AC18&lt;&gt;"F",ASISTENCIA!AC18&lt;&gt;""),SUMIF($F$13:$J$13,AI$13,$F19:$J19),"")</f>
        <v/>
      </c>
      <c r="AJ19" s="168" t="str">
        <f>IF(AND(LEN($D19)&gt;0,SUMIF($F$13:$J$13,AJ$13,$F19:$J19)&gt;0,ASISTENCIA!AD18&lt;&gt;"X",ASISTENCIA!AD18&lt;&gt;"L",ASISTENCIA!AD18&lt;&gt;"J",ASISTENCIA!AD18&lt;&gt;"V",ASISTENCIA!AD18&lt;&gt;"F",ASISTENCIA!AD18&lt;&gt;""),SUMIF($F$13:$J$13,AJ$13,$F19:$J19),"")</f>
        <v/>
      </c>
      <c r="AK19" s="168" t="str">
        <f>IF(AND(LEN($D19)&gt;0,SUMIF($F$13:$J$13,AK$13,$F19:$J19)&gt;0,ASISTENCIA!AE18&lt;&gt;"X",ASISTENCIA!AE18&lt;&gt;"L",ASISTENCIA!AE18&lt;&gt;"J",ASISTENCIA!AE18&lt;&gt;"V",ASISTENCIA!AE18&lt;&gt;"F",ASISTENCIA!AE18&lt;&gt;""),SUMIF($F$13:$J$13,AK$13,$F19:$J19),"")</f>
        <v/>
      </c>
      <c r="AL19" s="168" t="str">
        <f>IF(AND(LEN($D19)&gt;0,SUMIF($F$13:$J$13,AL$13,$F19:$J19)&gt;0,ASISTENCIA!AF18&lt;&gt;"X",ASISTENCIA!AF18&lt;&gt;"L",ASISTENCIA!AF18&lt;&gt;"J",ASISTENCIA!AF18&lt;&gt;"V",ASISTENCIA!AF18&lt;&gt;"F",ASISTENCIA!AF18&lt;&gt;""),SUMIF($F$13:$J$13,AL$13,$F19:$J19),"")</f>
        <v/>
      </c>
      <c r="AM19" s="168" t="str">
        <f>IF(AND(LEN($D19)&gt;0,SUMIF($F$13:$J$13,AM$13,$F19:$J19)&gt;0,ASISTENCIA!AG18&lt;&gt;"X",ASISTENCIA!AG18&lt;&gt;"L",ASISTENCIA!AG18&lt;&gt;"J",ASISTENCIA!AG18&lt;&gt;"V",ASISTENCIA!AG18&lt;&gt;"F",ASISTENCIA!AG18&lt;&gt;""),SUMIF($F$13:$J$13,AM$13,$F19:$J19),"")</f>
        <v/>
      </c>
      <c r="AN19" s="168" t="str">
        <f>IF(AND(LEN($D19)&gt;0,SUMIF($F$13:$J$13,AN$13,$F19:$J19)&gt;0,ASISTENCIA!AH18&lt;&gt;"X",ASISTENCIA!AH18&lt;&gt;"L",ASISTENCIA!AH18&lt;&gt;"J",ASISTENCIA!AH18&lt;&gt;"V",ASISTENCIA!AH18&lt;&gt;"F",ASISTENCIA!AH18&lt;&gt;""),SUMIF($F$13:$J$13,AN$13,$F19:$J19),"")</f>
        <v/>
      </c>
      <c r="AO19" s="168" t="str">
        <f>IF(AND(LEN($D19)&gt;0,SUMIF($F$13:$J$13,AO$13,$F19:$J19)&gt;0,ASISTENCIA!AI18&lt;&gt;"X",ASISTENCIA!AI18&lt;&gt;"L",ASISTENCIA!AI18&lt;&gt;"J",ASISTENCIA!AI18&lt;&gt;"V",ASISTENCIA!AI18&lt;&gt;"F",ASISTENCIA!AI18&lt;&gt;""),SUMIF($F$13:$J$13,AO$13,$F19:$J19),"")</f>
        <v/>
      </c>
      <c r="AP19" s="168" t="str">
        <f>IF(AND(LEN($D19)&gt;0,SUMIF($F$13:$J$13,AP$13,$F19:$J19)&gt;0,ASISTENCIA!AJ18&lt;&gt;"X",ASISTENCIA!AJ18&lt;&gt;"L",ASISTENCIA!AJ18&lt;&gt;"J",ASISTENCIA!AJ18&lt;&gt;"V",ASISTENCIA!AJ18&lt;&gt;"F",ASISTENCIA!AJ18&lt;&gt;""),SUMIF($F$13:$J$13,AP$13,$F19:$J19),"")</f>
        <v/>
      </c>
      <c r="AQ19" s="168" t="str">
        <f>IF(AND(LEN($D19)&gt;0,SUMIF($F$13:$J$13,AQ$13,$F19:$J19)&gt;0,ASISTENCIA!AK18&lt;&gt;"X",ASISTENCIA!AK18&lt;&gt;"L",ASISTENCIA!AK18&lt;&gt;"J",ASISTENCIA!AK18&lt;&gt;"V",ASISTENCIA!AK18&lt;&gt;"F",ASISTENCIA!AK18&lt;&gt;""),SUMIF($F$13:$J$13,AQ$13,$F19:$J19),"")</f>
        <v/>
      </c>
      <c r="AR19" s="168" t="str">
        <f>IF(AND(LEN($D19)&gt;0,SUMIF($F$13:$J$13,AR$13,$F19:$J19)&gt;0,ASISTENCIA!AL18&lt;&gt;"X",ASISTENCIA!AL18&lt;&gt;"L",ASISTENCIA!AL18&lt;&gt;"J",ASISTENCIA!AL18&lt;&gt;"V",ASISTENCIA!AL18&lt;&gt;"F",ASISTENCIA!AL18&lt;&gt;""),SUMIF($F$13:$J$13,AR$13,$F19:$J19),"")</f>
        <v/>
      </c>
      <c r="AS19" s="168" t="str">
        <f>IF(AND(LEN($D19)&gt;0,SUMIF($F$13:$J$13,AS$13,$F19:$J19)&gt;0,ASISTENCIA!AM18&lt;&gt;"X",ASISTENCIA!AM18&lt;&gt;"L",ASISTENCIA!AM18&lt;&gt;"J",ASISTENCIA!AM18&lt;&gt;"V",ASISTENCIA!AM18&lt;&gt;"F",ASISTENCIA!AM18&lt;&gt;""),SUMIF($F$13:$J$13,AS$13,$F19:$J19),"")</f>
        <v/>
      </c>
      <c r="AT19" s="182" t="str">
        <f t="shared" si="4"/>
        <v/>
      </c>
      <c r="AU19" s="157"/>
      <c r="AV19" s="157"/>
      <c r="AW19" s="157"/>
      <c r="AX19" s="168" t="str">
        <f>IF(AND(LEN($D19)&gt;0,SUMIF($F$13:$J$13,AX$13,$F19:$J19)&gt;0,ASISTENCIA!AU18&lt;&gt;"X",ASISTENCIA!AU18&lt;&gt;"L",ASISTENCIA!AU18&lt;&gt;"J",ASISTENCIA!AU18&lt;&gt;"F"),SUMIF($F$13:$J$13,AX$13,$F19:$J19),"")</f>
        <v/>
      </c>
      <c r="AY19" s="168" t="str">
        <f>IF(AND(LEN($D19)&gt;0,SUMIF($F$13:$J$13,AY$13,$F19:$J19)&gt;0,ASISTENCIA!AV18&lt;&gt;"X",ASISTENCIA!AV18&lt;&gt;"L",ASISTENCIA!AV18&lt;&gt;"J",ASISTENCIA!AV18&lt;&gt;"F"),SUMIF($F$13:$J$13,AY$13,$F19:$J19),"")</f>
        <v/>
      </c>
      <c r="AZ19" s="168" t="str">
        <f>IF(AND(LEN($D19)&gt;0,SUMIF($F$13:$J$13,AZ$13,$F19:$J19)&gt;0,ASISTENCIA!AW18&lt;&gt;"X",ASISTENCIA!AW18&lt;&gt;"L",ASISTENCIA!AW18&lt;&gt;"J",ASISTENCIA!AW18&lt;&gt;"F"),SUMIF($F$13:$J$13,AZ$13,$F19:$J19),"")</f>
        <v/>
      </c>
      <c r="BA19" s="168" t="str">
        <f>IF(AND(LEN($D19)&gt;0,SUMIF($F$13:$J$13,BA$13,$F19:$J19)&gt;0,ASISTENCIA!AX18&lt;&gt;"X",ASISTENCIA!AX18&lt;&gt;"L",ASISTENCIA!AX18&lt;&gt;"J",ASISTENCIA!AX18&lt;&gt;"F"),SUMIF($F$13:$J$13,BA$13,$F19:$J19),"")</f>
        <v/>
      </c>
      <c r="BB19" s="168" t="str">
        <f>IF(AND(LEN($D19)&gt;0,SUMIF($F$13:$J$13,BB$13,$F19:$J19)&gt;0,ASISTENCIA!AY18&lt;&gt;"X",ASISTENCIA!AY18&lt;&gt;"L",ASISTENCIA!AY18&lt;&gt;"J",ASISTENCIA!AY18&lt;&gt;"F"),SUMIF($F$13:$J$13,BB$13,$F19:$J19),"")</f>
        <v/>
      </c>
      <c r="BC19" s="168" t="str">
        <f>IF(AND(LEN($D19)&gt;0,SUMIF($F$13:$J$13,BC$13,$F19:$J19)&gt;0,ASISTENCIA!AZ18&lt;&gt;"X",ASISTENCIA!AZ18&lt;&gt;"L",ASISTENCIA!AZ18&lt;&gt;"J",ASISTENCIA!AZ18&lt;&gt;"F"),SUMIF($F$13:$J$13,BC$13,$F19:$J19),"")</f>
        <v/>
      </c>
      <c r="BD19" s="168" t="str">
        <f>IF(AND(LEN($D19)&gt;0,SUMIF($F$13:$J$13,BD$13,$F19:$J19)&gt;0,ASISTENCIA!BA18&lt;&gt;"X",ASISTENCIA!BA18&lt;&gt;"L",ASISTENCIA!BA18&lt;&gt;"J",ASISTENCIA!BA18&lt;&gt;"F"),SUMIF($F$13:$J$13,BD$13,$F19:$J19),"")</f>
        <v/>
      </c>
      <c r="BE19" s="168" t="str">
        <f>IF(AND(LEN($D19)&gt;0,SUMIF($F$13:$J$13,BE$13,$F19:$J19)&gt;0,ASISTENCIA!BB18&lt;&gt;"X",ASISTENCIA!BB18&lt;&gt;"L",ASISTENCIA!BB18&lt;&gt;"J",ASISTENCIA!BB18&lt;&gt;"F"),SUMIF($F$13:$J$13,BE$13,$F19:$J19),"")</f>
        <v/>
      </c>
      <c r="BF19" s="168" t="str">
        <f>IF(AND(LEN($D19)&gt;0,SUMIF($F$13:$J$13,BF$13,$F19:$J19)&gt;0,ASISTENCIA!#REF!&lt;&gt;"X",ASISTENCIA!#REF!&lt;&gt;"L",ASISTENCIA!#REF!&lt;&gt;"J",ASISTENCIA!#REF!&lt;&gt;"F"),SUMIF($F$13:$J$13,BF$13,$F19:$J19),"")</f>
        <v>#ERROR!</v>
      </c>
      <c r="BG19" s="168" t="str">
        <f>IF(AND(LEN($D19)&gt;0,SUMIF($F$13:$J$13,BG$13,$F19:$J19)&gt;0,ASISTENCIA!#REF!&lt;&gt;"X",ASISTENCIA!#REF!&lt;&gt;"L",ASISTENCIA!#REF!&lt;&gt;"J",ASISTENCIA!#REF!&lt;&gt;"F"),SUMIF($F$13:$J$13,BG$13,$F19:$J19),"")</f>
        <v>#ERROR!</v>
      </c>
      <c r="BH19" s="168" t="str">
        <f>IF(AND(LEN($D19)&gt;0,SUMIF($F$13:$J$13,BH$13,$F19:$J19)&gt;0,ASISTENCIA!BE18&lt;&gt;"X",ASISTENCIA!BE18&lt;&gt;"L",ASISTENCIA!BE18&lt;&gt;"J",ASISTENCIA!BE18&lt;&gt;"F"),SUMIF($F$13:$J$13,BH$13,$F19:$J19),"")</f>
        <v/>
      </c>
      <c r="BI19" s="168" t="str">
        <f>IF(AND(LEN($D19)&gt;0,SUMIF($F$13:$J$13,BI$13,$F19:$J19)&gt;0,ASISTENCIA!BF18&lt;&gt;"X",ASISTENCIA!BF18&lt;&gt;"L",ASISTENCIA!BF18&lt;&gt;"J",ASISTENCIA!BF18&lt;&gt;"F"),SUMIF($F$13:$J$13,BI$13,$F19:$J19),"")</f>
        <v/>
      </c>
      <c r="BJ19" s="168" t="str">
        <f>IF(AND(LEN($D19)&gt;0,SUMIF($F$13:$J$13,BJ$13,$F19:$J19)&gt;0,ASISTENCIA!BG18&lt;&gt;"X",ASISTENCIA!BG18&lt;&gt;"L",ASISTENCIA!BG18&lt;&gt;"J",ASISTENCIA!BG18&lt;&gt;"F"),SUMIF($F$13:$J$13,BJ$13,$F19:$J19),"")</f>
        <v/>
      </c>
      <c r="BK19" s="168" t="str">
        <f>IF(AND(LEN($D19)&gt;0,SUMIF($F$13:$J$13,BK$13,$F19:$J19)&gt;0,ASISTENCIA!BH18&lt;&gt;"X",ASISTENCIA!BH18&lt;&gt;"L",ASISTENCIA!BH18&lt;&gt;"J",ASISTENCIA!BH18&lt;&gt;"F"),SUMIF($F$13:$J$13,BK$13,$F19:$J19),"")</f>
        <v/>
      </c>
      <c r="BL19" s="168" t="str">
        <f>IF(AND(LEN($D19)&gt;0,SUMIF($F$13:$J$13,BL$13,$F19:$J19)&gt;0,ASISTENCIA!BI18&lt;&gt;"X",ASISTENCIA!BI18&lt;&gt;"L",ASISTENCIA!BI18&lt;&gt;"J",ASISTENCIA!BI18&lt;&gt;"F"),SUMIF($F$13:$J$13,BL$13,$F19:$J19),"")</f>
        <v/>
      </c>
      <c r="BM19" s="168" t="str">
        <f>IF(AND(LEN($D19)&gt;0,SUMIF($F$13:$J$13,BM$13,$F19:$J19)&gt;0,ASISTENCIA!BJ18&lt;&gt;"X",ASISTENCIA!BJ18&lt;&gt;"L",ASISTENCIA!BJ18&lt;&gt;"J",ASISTENCIA!BJ18&lt;&gt;"F"),SUMIF($F$13:$J$13,BM$13,$F19:$J19),"")</f>
        <v/>
      </c>
      <c r="BN19" s="168" t="str">
        <f>IF(AND(LEN($D19)&gt;0,SUMIF($F$13:$J$13,BN$13,$F19:$J19)&gt;0,ASISTENCIA!BK18&lt;&gt;"X",ASISTENCIA!BK18&lt;&gt;"L",ASISTENCIA!BK18&lt;&gt;"J",ASISTENCIA!BK18&lt;&gt;"F"),SUMIF($F$13:$J$13,BN$13,$F19:$J19),"")</f>
        <v/>
      </c>
      <c r="BO19" s="168" t="str">
        <f>IF(AND(LEN($D19)&gt;0,SUMIF($F$13:$J$13,BO$13,$F19:$J19)&gt;0,ASISTENCIA!BL18&lt;&gt;"X",ASISTENCIA!BL18&lt;&gt;"L",ASISTENCIA!BL18&lt;&gt;"J",ASISTENCIA!BL18&lt;&gt;"F"),SUMIF($F$13:$J$13,BO$13,$F19:$J19),"")</f>
        <v/>
      </c>
      <c r="BP19" s="168" t="str">
        <f>IF(AND(LEN($D19)&gt;0,SUMIF($F$13:$J$13,BP$13,$F19:$J19)&gt;0,ASISTENCIA!BM18&lt;&gt;"X",ASISTENCIA!BM18&lt;&gt;"L",ASISTENCIA!BM18&lt;&gt;"J",ASISTENCIA!BM18&lt;&gt;"F"),SUMIF($F$13:$J$13,BP$13,$F19:$J19),"")</f>
        <v/>
      </c>
      <c r="BQ19" s="168" t="str">
        <f>IF(AND(LEN($D19)&gt;0,SUMIF($F$13:$J$13,BQ$13,$F19:$J19)&gt;0,ASISTENCIA!BN18&lt;&gt;"X",ASISTENCIA!BN18&lt;&gt;"L",ASISTENCIA!BN18&lt;&gt;"J",ASISTENCIA!BN18&lt;&gt;"F"),SUMIF($F$13:$J$13,BQ$13,$F19:$J19),"")</f>
        <v/>
      </c>
      <c r="BR19" s="168" t="str">
        <f>IF(AND(LEN($D19)&gt;0,SUMIF($F$13:$J$13,BR$13,$F19:$J19)&gt;0,ASISTENCIA!BO18&lt;&gt;"X",ASISTENCIA!BO18&lt;&gt;"L",ASISTENCIA!BO18&lt;&gt;"J",ASISTENCIA!BO18&lt;&gt;"F"),SUMIF($F$13:$J$13,BR$13,$F19:$J19),"")</f>
        <v/>
      </c>
      <c r="BS19" s="168" t="str">
        <f>IF(AND(LEN($D19)&gt;0,SUMIF($F$13:$J$13,BS$13,$F19:$J19)&gt;0,ASISTENCIA!BP18&lt;&gt;"X",ASISTENCIA!BP18&lt;&gt;"L",ASISTENCIA!BP18&lt;&gt;"J",ASISTENCIA!BP18&lt;&gt;"F"),SUMIF($F$13:$J$13,BS$13,$F19:$J19),"")</f>
        <v/>
      </c>
      <c r="BT19" s="168" t="str">
        <f>IF(AND(LEN($D19)&gt;0,SUMIF($F$13:$J$13,BT$13,$F19:$J19)&gt;0,ASISTENCIA!BQ18&lt;&gt;"X",ASISTENCIA!BQ18&lt;&gt;"L",ASISTENCIA!BQ18&lt;&gt;"J",ASISTENCIA!BQ18&lt;&gt;"F"),SUMIF($F$13:$J$13,BT$13,$F19:$J19),"")</f>
        <v/>
      </c>
      <c r="BU19" s="168" t="str">
        <f>IF(AND(LEN($D19)&gt;0,SUMIF($F$13:$J$13,BU$13,$F19:$J19)&gt;0,ASISTENCIA!BR18&lt;&gt;"X",ASISTENCIA!BR18&lt;&gt;"L",ASISTENCIA!BR18&lt;&gt;"J",ASISTENCIA!BR18&lt;&gt;"F"),SUMIF($F$13:$J$13,BU$13,$F19:$J19),"")</f>
        <v/>
      </c>
      <c r="BV19" s="168" t="str">
        <f>IF(AND(LEN($D19)&gt;0,SUMIF($F$13:$J$13,BV$13,$F19:$J19)&gt;0,ASISTENCIA!BS18&lt;&gt;"X",ASISTENCIA!BS18&lt;&gt;"L",ASISTENCIA!BS18&lt;&gt;"J",ASISTENCIA!BS18&lt;&gt;"F"),SUMIF($F$13:$J$13,BV$13,$F19:$J19),"")</f>
        <v/>
      </c>
      <c r="BW19" s="168" t="str">
        <f>IF(AND(LEN($D19)&gt;0,SUMIF($F$13:$J$13,BW$13,$F19:$J19)&gt;0,ASISTENCIA!BT18&lt;&gt;"X",ASISTENCIA!BT18&lt;&gt;"L",ASISTENCIA!BT18&lt;&gt;"J",ASISTENCIA!BT18&lt;&gt;"F"),SUMIF($F$13:$J$13,BW$13,$F19:$J19),"")</f>
        <v/>
      </c>
      <c r="BX19" s="168" t="str">
        <f>IF(AND(LEN($D19)&gt;0,SUMIF($F$13:$J$13,BX$13,$F19:$J19)&gt;0,ASISTENCIA!BU18&lt;&gt;"X",ASISTENCIA!BU18&lt;&gt;"L",ASISTENCIA!BU18&lt;&gt;"J",ASISTENCIA!BU18&lt;&gt;"F"),SUMIF($F$13:$J$13,BX$13,$F19:$J19),"")</f>
        <v/>
      </c>
      <c r="BY19" s="168" t="str">
        <f>IF(AND(LEN($D19)&gt;0,SUMIF($F$13:$J$13,BY$13,$F19:$J19)&gt;0,ASISTENCIA!BV18&lt;&gt;"X",ASISTENCIA!BV18&lt;&gt;"L",ASISTENCIA!BV18&lt;&gt;"J",ASISTENCIA!BV18&lt;&gt;"F"),SUMIF($F$13:$J$13,BY$13,$F19:$J19),"")</f>
        <v/>
      </c>
      <c r="BZ19" s="168" t="str">
        <f>IF(AND(LEN($D19)&gt;0,SUMIF($F$13:$J$13,BZ$13,$F19:$J19)&gt;0,ASISTENCIA!BW18&lt;&gt;"X",ASISTENCIA!BW18&lt;&gt;"L",ASISTENCIA!BW18&lt;&gt;"J",ASISTENCIA!BW18&lt;&gt;"F"),SUMIF($F$13:$J$13,BZ$13,$F19:$J19),"")</f>
        <v/>
      </c>
      <c r="CA19" s="168" t="str">
        <f>IF(AND(LEN($D19)&gt;0,SUMIF($F$13:$J$13,CA$13,$F19:$J19)&gt;0,ASISTENCIA!BX18&lt;&gt;"X",ASISTENCIA!BX18&lt;&gt;"L",ASISTENCIA!BX18&lt;&gt;"J",ASISTENCIA!BX18&lt;&gt;"F"),SUMIF($F$13:$J$13,CA$13,$F19:$J19),"")</f>
        <v/>
      </c>
      <c r="CB19" s="168" t="str">
        <f>IF(AND(LEN($D19)&gt;0,SUMIF($F$13:$J$13,CB$13,$F19:$J19)&gt;0,ASISTENCIA!BY18&lt;&gt;"X",ASISTENCIA!BY18&lt;&gt;"L",ASISTENCIA!BY18&lt;&gt;"J",ASISTENCIA!BY18&lt;&gt;"F"),SUMIF($F$13:$J$13,CB$13,$F19:$J19),"")</f>
        <v/>
      </c>
      <c r="CC19" s="182" t="str">
        <f t="shared" si="5"/>
        <v>#ERROR!</v>
      </c>
      <c r="CD19" s="157"/>
    </row>
    <row r="20" ht="12.75" customHeight="1">
      <c r="A20" s="132" t="str">
        <f t="shared" si="6"/>
        <v/>
      </c>
      <c r="B20" s="183" t="str">
        <f>IF(LEN(C20)&gt;0,VLOOKUP($O$4,DATA!$A$1:$S$1,2,FALSE),"")</f>
        <v/>
      </c>
      <c r="C20" s="184" t="str">
        <f t="shared" si="1"/>
        <v/>
      </c>
      <c r="D20" s="136" t="str">
        <f>IF(LEN(ASISTENCIA!E19)&gt;0,ASISTENCIA!E19,"")</f>
        <v/>
      </c>
      <c r="E20" s="167" t="str">
        <f>IF(LEN(D20)&gt;0,ASISTENCIA!F19,"")</f>
        <v/>
      </c>
      <c r="F20" s="180"/>
      <c r="G20" s="180"/>
      <c r="H20" s="180"/>
      <c r="I20" s="180"/>
      <c r="J20" s="180"/>
      <c r="K20" s="168" t="str">
        <f t="shared" si="2"/>
        <v/>
      </c>
      <c r="L20" s="185"/>
      <c r="M20" s="168"/>
      <c r="N20" s="168" t="str">
        <f t="shared" si="3"/>
        <v>#ERROR!</v>
      </c>
      <c r="O20" s="168" t="str">
        <f>IF(AND(LEN($D20)&gt;0,SUMIF($F$13:$J$13,O$13,$F20:$J20)&gt;0,ASISTENCIA!I19&lt;&gt;"X",ASISTENCIA!I19&lt;&gt;"L",ASISTENCIA!I19&lt;&gt;"J",ASISTENCIA!I19&lt;&gt;"V",ASISTENCIA!I19&lt;&gt;"F",ASISTENCIA!I19&lt;&gt;""),SUMIF($F$13:$J$13,O$13,$F20:$J20),"")</f>
        <v/>
      </c>
      <c r="P20" s="168" t="str">
        <f>IF(AND(LEN($D20)&gt;0,SUMIF($F$13:$J$13,P$13,$F20:$J20)&gt;0,ASISTENCIA!J19&lt;&gt;"X",ASISTENCIA!J19&lt;&gt;"L",ASISTENCIA!J19&lt;&gt;"J",ASISTENCIA!J19&lt;&gt;"V",ASISTENCIA!J19&lt;&gt;"F",ASISTENCIA!J19&lt;&gt;""),SUMIF($F$13:$J$13,P$13,$F20:$J20),"")</f>
        <v/>
      </c>
      <c r="Q20" s="168" t="str">
        <f>IF(AND(LEN($D20)&gt;0,SUMIF($F$13:$J$13,Q$13,$F20:$J20)&gt;0,ASISTENCIA!K19&lt;&gt;"X",ASISTENCIA!K19&lt;&gt;"L",ASISTENCIA!K19&lt;&gt;"J",ASISTENCIA!K19&lt;&gt;"V",ASISTENCIA!K19&lt;&gt;"F",ASISTENCIA!K19&lt;&gt;""),SUMIF($F$13:$J$13,Q$13,$F20:$J20),"")</f>
        <v/>
      </c>
      <c r="R20" s="168" t="str">
        <f>IF(AND(LEN($D20)&gt;0,SUMIF($F$13:$J$13,R$13,$F20:$J20)&gt;0,ASISTENCIA!L19&lt;&gt;"X",ASISTENCIA!L19&lt;&gt;"L",ASISTENCIA!L19&lt;&gt;"J",ASISTENCIA!L19&lt;&gt;"V",ASISTENCIA!L19&lt;&gt;"F",ASISTENCIA!L19&lt;&gt;""),SUMIF($F$13:$J$13,R$13,$F20:$J20),"")</f>
        <v/>
      </c>
      <c r="S20" s="168" t="str">
        <f>IF(AND(LEN($D20)&gt;0,SUMIF($F$13:$J$13,S$13,$F20:$J20)&gt;0,ASISTENCIA!M19&lt;&gt;"X",ASISTENCIA!M19&lt;&gt;"L",ASISTENCIA!M19&lt;&gt;"J",ASISTENCIA!M19&lt;&gt;"V",ASISTENCIA!M19&lt;&gt;"F",ASISTENCIA!M19&lt;&gt;""),SUMIF($F$13:$J$13,S$13,$F20:$J20),"")</f>
        <v/>
      </c>
      <c r="T20" s="168" t="str">
        <f>IF(AND(LEN($D20)&gt;0,SUMIF($F$13:$J$13,T$13,$F20:$J20)&gt;0,ASISTENCIA!N19&lt;&gt;"X",ASISTENCIA!N19&lt;&gt;"L",ASISTENCIA!N19&lt;&gt;"J",ASISTENCIA!N19&lt;&gt;"V",ASISTENCIA!N19&lt;&gt;"F",ASISTENCIA!N19&lt;&gt;""),SUMIF($F$13:$J$13,T$13,$F20:$J20),"")</f>
        <v/>
      </c>
      <c r="U20" s="168" t="str">
        <f>IF(AND(LEN($D20)&gt;0,SUMIF($F$13:$J$13,U$13,$F20:$J20)&gt;0,ASISTENCIA!O19&lt;&gt;"X",ASISTENCIA!O19&lt;&gt;"L",ASISTENCIA!O19&lt;&gt;"J",ASISTENCIA!O19&lt;&gt;"V",ASISTENCIA!O19&lt;&gt;"F",ASISTENCIA!O19&lt;&gt;""),SUMIF($F$13:$J$13,U$13,$F20:$J20),"")</f>
        <v/>
      </c>
      <c r="V20" s="168" t="str">
        <f>IF(AND(LEN($D20)&gt;0,SUMIF($F$13:$J$13,V$13,$F20:$J20)&gt;0,ASISTENCIA!P19&lt;&gt;"X",ASISTENCIA!P19&lt;&gt;"L",ASISTENCIA!P19&lt;&gt;"J",ASISTENCIA!P19&lt;&gt;"V",ASISTENCIA!P19&lt;&gt;"F",ASISTENCIA!P19&lt;&gt;""),SUMIF($F$13:$J$13,V$13,$F20:$J20),"")</f>
        <v/>
      </c>
      <c r="W20" s="168" t="str">
        <f>IF(AND(LEN($D20)&gt;0,SUMIF($F$13:$J$13,W$13,$F20:$J20)&gt;0,ASISTENCIA!Q19&lt;&gt;"X",ASISTENCIA!Q19&lt;&gt;"L",ASISTENCIA!Q19&lt;&gt;"J",ASISTENCIA!Q19&lt;&gt;"V",ASISTENCIA!Q19&lt;&gt;"F",ASISTENCIA!Q19&lt;&gt;""),SUMIF($F$13:$J$13,W$13,$F20:$J20),"")</f>
        <v/>
      </c>
      <c r="X20" s="168" t="str">
        <f>IF(AND(LEN($D20)&gt;0,SUMIF($F$13:$J$13,X$13,$F20:$J20)&gt;0,ASISTENCIA!R19&lt;&gt;"X",ASISTENCIA!R19&lt;&gt;"L",ASISTENCIA!R19&lt;&gt;"J",ASISTENCIA!R19&lt;&gt;"V",ASISTENCIA!R19&lt;&gt;"F",ASISTENCIA!R19&lt;&gt;""),SUMIF($F$13:$J$13,X$13,$F20:$J20),"")</f>
        <v/>
      </c>
      <c r="Y20" s="168" t="str">
        <f>IF(AND(LEN($D20)&gt;0,SUMIF($F$13:$J$13,Y$13,$F20:$J20)&gt;0,ASISTENCIA!S19&lt;&gt;"X",ASISTENCIA!S19&lt;&gt;"L",ASISTENCIA!S19&lt;&gt;"J",ASISTENCIA!S19&lt;&gt;"V",ASISTENCIA!S19&lt;&gt;"F",ASISTENCIA!S19&lt;&gt;""),SUMIF($F$13:$J$13,Y$13,$F20:$J20),"")</f>
        <v/>
      </c>
      <c r="Z20" s="168" t="str">
        <f>IF(AND(LEN($D20)&gt;0,SUMIF($F$13:$J$13,Z$13,$F20:$J20)&gt;0,ASISTENCIA!T19&lt;&gt;"X",ASISTENCIA!T19&lt;&gt;"L",ASISTENCIA!T19&lt;&gt;"J",ASISTENCIA!T19&lt;&gt;"V",ASISTENCIA!T19&lt;&gt;"F",ASISTENCIA!T19&lt;&gt;""),SUMIF($F$13:$J$13,Z$13,$F20:$J20),"")</f>
        <v/>
      </c>
      <c r="AA20" s="168" t="str">
        <f>IF(AND(LEN($D20)&gt;0,SUMIF($F$13:$J$13,AA$13,$F20:$J20)&gt;0,ASISTENCIA!U19&lt;&gt;"X",ASISTENCIA!U19&lt;&gt;"L",ASISTENCIA!U19&lt;&gt;"J",ASISTENCIA!U19&lt;&gt;"V",ASISTENCIA!U19&lt;&gt;"F",ASISTENCIA!U19&lt;&gt;""),SUMIF($F$13:$J$13,AA$13,$F20:$J20),"")</f>
        <v/>
      </c>
      <c r="AB20" s="168" t="str">
        <f>IF(AND(LEN($D20)&gt;0,SUMIF($F$13:$J$13,AB$13,$F20:$J20)&gt;0,ASISTENCIA!V19&lt;&gt;"X",ASISTENCIA!V19&lt;&gt;"L",ASISTENCIA!V19&lt;&gt;"J",ASISTENCIA!V19&lt;&gt;"V",ASISTENCIA!V19&lt;&gt;"F",ASISTENCIA!V19&lt;&gt;""),SUMIF($F$13:$J$13,AB$13,$F20:$J20),"")</f>
        <v/>
      </c>
      <c r="AC20" s="168" t="str">
        <f>IF(AND(LEN($D20)&gt;0,SUMIF($F$13:$J$13,AC$13,$F20:$J20)&gt;0,ASISTENCIA!W19&lt;&gt;"X",ASISTENCIA!W19&lt;&gt;"L",ASISTENCIA!W19&lt;&gt;"J",ASISTENCIA!W19&lt;&gt;"V",ASISTENCIA!W19&lt;&gt;"F",ASISTENCIA!W19&lt;&gt;""),SUMIF($F$13:$J$13,AC$13,$F20:$J20),"")</f>
        <v/>
      </c>
      <c r="AD20" s="168" t="str">
        <f>IF(AND(LEN($D20)&gt;0,SUMIF($F$13:$J$13,AD$13,$F20:$J20)&gt;0,ASISTENCIA!X19&lt;&gt;"X",ASISTENCIA!X19&lt;&gt;"L",ASISTENCIA!X19&lt;&gt;"J",ASISTENCIA!X19&lt;&gt;"V",ASISTENCIA!X19&lt;&gt;"F",ASISTENCIA!X19&lt;&gt;""),SUMIF($F$13:$J$13,AD$13,$F20:$J20),"")</f>
        <v/>
      </c>
      <c r="AE20" s="168" t="str">
        <f>IF(AND(LEN($D20)&gt;0,SUMIF($F$13:$J$13,AE$13,$F20:$J20)&gt;0,ASISTENCIA!Y19&lt;&gt;"X",ASISTENCIA!Y19&lt;&gt;"L",ASISTENCIA!Y19&lt;&gt;"J",ASISTENCIA!Y19&lt;&gt;"V",ASISTENCIA!Y19&lt;&gt;"F",ASISTENCIA!Y19&lt;&gt;""),SUMIF($F$13:$J$13,AE$13,$F20:$J20),"")</f>
        <v/>
      </c>
      <c r="AF20" s="168" t="str">
        <f>IF(AND(LEN($D20)&gt;0,SUMIF($F$13:$J$13,AF$13,$F20:$J20)&gt;0,ASISTENCIA!Z19&lt;&gt;"X",ASISTENCIA!Z19&lt;&gt;"L",ASISTENCIA!Z19&lt;&gt;"J",ASISTENCIA!Z19&lt;&gt;"V",ASISTENCIA!Z19&lt;&gt;"F",ASISTENCIA!Z19&lt;&gt;""),SUMIF($F$13:$J$13,AF$13,$F20:$J20),"")</f>
        <v/>
      </c>
      <c r="AG20" s="168" t="str">
        <f>IF(AND(LEN($D20)&gt;0,SUMIF($F$13:$J$13,AG$13,$F20:$J20)&gt;0,ASISTENCIA!AA19&lt;&gt;"X",ASISTENCIA!AA19&lt;&gt;"L",ASISTENCIA!AA19&lt;&gt;"J",ASISTENCIA!AA19&lt;&gt;"V",ASISTENCIA!AA19&lt;&gt;"F",ASISTENCIA!AA19&lt;&gt;""),SUMIF($F$13:$J$13,AG$13,$F20:$J20),"")</f>
        <v/>
      </c>
      <c r="AH20" s="168" t="str">
        <f>IF(AND(LEN($D20)&gt;0,SUMIF($F$13:$J$13,AH$13,$F20:$J20)&gt;0,ASISTENCIA!AB19&lt;&gt;"X",ASISTENCIA!AB19&lt;&gt;"L",ASISTENCIA!AB19&lt;&gt;"J",ASISTENCIA!AB19&lt;&gt;"V",ASISTENCIA!AB19&lt;&gt;"F",ASISTENCIA!AB19&lt;&gt;""),SUMIF($F$13:$J$13,AH$13,$F20:$J20),"")</f>
        <v/>
      </c>
      <c r="AI20" s="168" t="str">
        <f>IF(AND(LEN($D20)&gt;0,SUMIF($F$13:$J$13,AI$13,$F20:$J20)&gt;0,ASISTENCIA!AC19&lt;&gt;"X",ASISTENCIA!AC19&lt;&gt;"L",ASISTENCIA!AC19&lt;&gt;"J",ASISTENCIA!AC19&lt;&gt;"V",ASISTENCIA!AC19&lt;&gt;"F",ASISTENCIA!AC19&lt;&gt;""),SUMIF($F$13:$J$13,AI$13,$F20:$J20),"")</f>
        <v/>
      </c>
      <c r="AJ20" s="168" t="str">
        <f>IF(AND(LEN($D20)&gt;0,SUMIF($F$13:$J$13,AJ$13,$F20:$J20)&gt;0,ASISTENCIA!AD19&lt;&gt;"X",ASISTENCIA!AD19&lt;&gt;"L",ASISTENCIA!AD19&lt;&gt;"J",ASISTENCIA!AD19&lt;&gt;"V",ASISTENCIA!AD19&lt;&gt;"F",ASISTENCIA!AD19&lt;&gt;""),SUMIF($F$13:$J$13,AJ$13,$F20:$J20),"")</f>
        <v/>
      </c>
      <c r="AK20" s="168" t="str">
        <f>IF(AND(LEN($D20)&gt;0,SUMIF($F$13:$J$13,AK$13,$F20:$J20)&gt;0,ASISTENCIA!AE19&lt;&gt;"X",ASISTENCIA!AE19&lt;&gt;"L",ASISTENCIA!AE19&lt;&gt;"J",ASISTENCIA!AE19&lt;&gt;"V",ASISTENCIA!AE19&lt;&gt;"F",ASISTENCIA!AE19&lt;&gt;""),SUMIF($F$13:$J$13,AK$13,$F20:$J20),"")</f>
        <v/>
      </c>
      <c r="AL20" s="168" t="str">
        <f>IF(AND(LEN($D20)&gt;0,SUMIF($F$13:$J$13,AL$13,$F20:$J20)&gt;0,ASISTENCIA!AF19&lt;&gt;"X",ASISTENCIA!AF19&lt;&gt;"L",ASISTENCIA!AF19&lt;&gt;"J",ASISTENCIA!AF19&lt;&gt;"V",ASISTENCIA!AF19&lt;&gt;"F",ASISTENCIA!AF19&lt;&gt;""),SUMIF($F$13:$J$13,AL$13,$F20:$J20),"")</f>
        <v/>
      </c>
      <c r="AM20" s="168" t="str">
        <f>IF(AND(LEN($D20)&gt;0,SUMIF($F$13:$J$13,AM$13,$F20:$J20)&gt;0,ASISTENCIA!AG19&lt;&gt;"X",ASISTENCIA!AG19&lt;&gt;"L",ASISTENCIA!AG19&lt;&gt;"J",ASISTENCIA!AG19&lt;&gt;"V",ASISTENCIA!AG19&lt;&gt;"F",ASISTENCIA!AG19&lt;&gt;""),SUMIF($F$13:$J$13,AM$13,$F20:$J20),"")</f>
        <v/>
      </c>
      <c r="AN20" s="168" t="str">
        <f>IF(AND(LEN($D20)&gt;0,SUMIF($F$13:$J$13,AN$13,$F20:$J20)&gt;0,ASISTENCIA!AH19&lt;&gt;"X",ASISTENCIA!AH19&lt;&gt;"L",ASISTENCIA!AH19&lt;&gt;"J",ASISTENCIA!AH19&lt;&gt;"V",ASISTENCIA!AH19&lt;&gt;"F",ASISTENCIA!AH19&lt;&gt;""),SUMIF($F$13:$J$13,AN$13,$F20:$J20),"")</f>
        <v/>
      </c>
      <c r="AO20" s="168" t="str">
        <f>IF(AND(LEN($D20)&gt;0,SUMIF($F$13:$J$13,AO$13,$F20:$J20)&gt;0,ASISTENCIA!AI19&lt;&gt;"X",ASISTENCIA!AI19&lt;&gt;"L",ASISTENCIA!AI19&lt;&gt;"J",ASISTENCIA!AI19&lt;&gt;"V",ASISTENCIA!AI19&lt;&gt;"F",ASISTENCIA!AI19&lt;&gt;""),SUMIF($F$13:$J$13,AO$13,$F20:$J20),"")</f>
        <v/>
      </c>
      <c r="AP20" s="168" t="str">
        <f>IF(AND(LEN($D20)&gt;0,SUMIF($F$13:$J$13,AP$13,$F20:$J20)&gt;0,ASISTENCIA!AJ19&lt;&gt;"X",ASISTENCIA!AJ19&lt;&gt;"L",ASISTENCIA!AJ19&lt;&gt;"J",ASISTENCIA!AJ19&lt;&gt;"V",ASISTENCIA!AJ19&lt;&gt;"F",ASISTENCIA!AJ19&lt;&gt;""),SUMIF($F$13:$J$13,AP$13,$F20:$J20),"")</f>
        <v/>
      </c>
      <c r="AQ20" s="168" t="str">
        <f>IF(AND(LEN($D20)&gt;0,SUMIF($F$13:$J$13,AQ$13,$F20:$J20)&gt;0,ASISTENCIA!AK19&lt;&gt;"X",ASISTENCIA!AK19&lt;&gt;"L",ASISTENCIA!AK19&lt;&gt;"J",ASISTENCIA!AK19&lt;&gt;"V",ASISTENCIA!AK19&lt;&gt;"F",ASISTENCIA!AK19&lt;&gt;""),SUMIF($F$13:$J$13,AQ$13,$F20:$J20),"")</f>
        <v/>
      </c>
      <c r="AR20" s="168" t="str">
        <f>IF(AND(LEN($D20)&gt;0,SUMIF($F$13:$J$13,AR$13,$F20:$J20)&gt;0,ASISTENCIA!AL19&lt;&gt;"X",ASISTENCIA!AL19&lt;&gt;"L",ASISTENCIA!AL19&lt;&gt;"J",ASISTENCIA!AL19&lt;&gt;"V",ASISTENCIA!AL19&lt;&gt;"F",ASISTENCIA!AL19&lt;&gt;""),SUMIF($F$13:$J$13,AR$13,$F20:$J20),"")</f>
        <v/>
      </c>
      <c r="AS20" s="168" t="str">
        <f>IF(AND(LEN($D20)&gt;0,SUMIF($F$13:$J$13,AS$13,$F20:$J20)&gt;0,ASISTENCIA!AM19&lt;&gt;"X",ASISTENCIA!AM19&lt;&gt;"L",ASISTENCIA!AM19&lt;&gt;"J",ASISTENCIA!AM19&lt;&gt;"V",ASISTENCIA!AM19&lt;&gt;"F",ASISTENCIA!AM19&lt;&gt;""),SUMIF($F$13:$J$13,AS$13,$F20:$J20),"")</f>
        <v/>
      </c>
      <c r="AT20" s="182" t="str">
        <f t="shared" si="4"/>
        <v/>
      </c>
      <c r="AU20" s="157"/>
      <c r="AV20" s="157"/>
      <c r="AW20" s="157"/>
      <c r="AX20" s="168" t="str">
        <f>IF(AND(LEN($D20)&gt;0,SUMIF($F$13:$J$13,AX$13,$F20:$J20)&gt;0,ASISTENCIA!AU19&lt;&gt;"X",ASISTENCIA!AU19&lt;&gt;"L",ASISTENCIA!AU19&lt;&gt;"J",ASISTENCIA!AU19&lt;&gt;"F"),SUMIF($F$13:$J$13,AX$13,$F20:$J20),"")</f>
        <v/>
      </c>
      <c r="AY20" s="168" t="str">
        <f>IF(AND(LEN($D20)&gt;0,SUMIF($F$13:$J$13,AY$13,$F20:$J20)&gt;0,ASISTENCIA!AV19&lt;&gt;"X",ASISTENCIA!AV19&lt;&gt;"L",ASISTENCIA!AV19&lt;&gt;"J",ASISTENCIA!AV19&lt;&gt;"F"),SUMIF($F$13:$J$13,AY$13,$F20:$J20),"")</f>
        <v/>
      </c>
      <c r="AZ20" s="168" t="str">
        <f>IF(AND(LEN($D20)&gt;0,SUMIF($F$13:$J$13,AZ$13,$F20:$J20)&gt;0,ASISTENCIA!AW19&lt;&gt;"X",ASISTENCIA!AW19&lt;&gt;"L",ASISTENCIA!AW19&lt;&gt;"J",ASISTENCIA!AW19&lt;&gt;"F"),SUMIF($F$13:$J$13,AZ$13,$F20:$J20),"")</f>
        <v/>
      </c>
      <c r="BA20" s="168" t="str">
        <f>IF(AND(LEN($D20)&gt;0,SUMIF($F$13:$J$13,BA$13,$F20:$J20)&gt;0,ASISTENCIA!AX19&lt;&gt;"X",ASISTENCIA!AX19&lt;&gt;"L",ASISTENCIA!AX19&lt;&gt;"J",ASISTENCIA!AX19&lt;&gt;"F"),SUMIF($F$13:$J$13,BA$13,$F20:$J20),"")</f>
        <v/>
      </c>
      <c r="BB20" s="168" t="str">
        <f>IF(AND(LEN($D20)&gt;0,SUMIF($F$13:$J$13,BB$13,$F20:$J20)&gt;0,ASISTENCIA!AY19&lt;&gt;"X",ASISTENCIA!AY19&lt;&gt;"L",ASISTENCIA!AY19&lt;&gt;"J",ASISTENCIA!AY19&lt;&gt;"F"),SUMIF($F$13:$J$13,BB$13,$F20:$J20),"")</f>
        <v/>
      </c>
      <c r="BC20" s="168" t="str">
        <f>IF(AND(LEN($D20)&gt;0,SUMIF($F$13:$J$13,BC$13,$F20:$J20)&gt;0,ASISTENCIA!AZ19&lt;&gt;"X",ASISTENCIA!AZ19&lt;&gt;"L",ASISTENCIA!AZ19&lt;&gt;"J",ASISTENCIA!AZ19&lt;&gt;"F"),SUMIF($F$13:$J$13,BC$13,$F20:$J20),"")</f>
        <v/>
      </c>
      <c r="BD20" s="168" t="str">
        <f>IF(AND(LEN($D20)&gt;0,SUMIF($F$13:$J$13,BD$13,$F20:$J20)&gt;0,ASISTENCIA!BA19&lt;&gt;"X",ASISTENCIA!BA19&lt;&gt;"L",ASISTENCIA!BA19&lt;&gt;"J",ASISTENCIA!BA19&lt;&gt;"F"),SUMIF($F$13:$J$13,BD$13,$F20:$J20),"")</f>
        <v/>
      </c>
      <c r="BE20" s="168" t="str">
        <f>IF(AND(LEN($D20)&gt;0,SUMIF($F$13:$J$13,BE$13,$F20:$J20)&gt;0,ASISTENCIA!BB19&lt;&gt;"X",ASISTENCIA!BB19&lt;&gt;"L",ASISTENCIA!BB19&lt;&gt;"J",ASISTENCIA!BB19&lt;&gt;"F"),SUMIF($F$13:$J$13,BE$13,$F20:$J20),"")</f>
        <v/>
      </c>
      <c r="BF20" s="168" t="str">
        <f>IF(AND(LEN($D20)&gt;0,SUMIF($F$13:$J$13,BF$13,$F20:$J20)&gt;0,ASISTENCIA!#REF!&lt;&gt;"X",ASISTENCIA!#REF!&lt;&gt;"L",ASISTENCIA!#REF!&lt;&gt;"J",ASISTENCIA!#REF!&lt;&gt;"F"),SUMIF($F$13:$J$13,BF$13,$F20:$J20),"")</f>
        <v>#ERROR!</v>
      </c>
      <c r="BG20" s="168" t="str">
        <f>IF(AND(LEN($D20)&gt;0,SUMIF($F$13:$J$13,BG$13,$F20:$J20)&gt;0,ASISTENCIA!#REF!&lt;&gt;"X",ASISTENCIA!#REF!&lt;&gt;"L",ASISTENCIA!#REF!&lt;&gt;"J",ASISTENCIA!#REF!&lt;&gt;"F"),SUMIF($F$13:$J$13,BG$13,$F20:$J20),"")</f>
        <v>#ERROR!</v>
      </c>
      <c r="BH20" s="168" t="str">
        <f>IF(AND(LEN($D20)&gt;0,SUMIF($F$13:$J$13,BH$13,$F20:$J20)&gt;0,ASISTENCIA!BE19&lt;&gt;"X",ASISTENCIA!BE19&lt;&gt;"L",ASISTENCIA!BE19&lt;&gt;"J",ASISTENCIA!BE19&lt;&gt;"F"),SUMIF($F$13:$J$13,BH$13,$F20:$J20),"")</f>
        <v/>
      </c>
      <c r="BI20" s="168" t="str">
        <f>IF(AND(LEN($D20)&gt;0,SUMIF($F$13:$J$13,BI$13,$F20:$J20)&gt;0,ASISTENCIA!BF19&lt;&gt;"X",ASISTENCIA!BF19&lt;&gt;"L",ASISTENCIA!BF19&lt;&gt;"J",ASISTENCIA!BF19&lt;&gt;"F"),SUMIF($F$13:$J$13,BI$13,$F20:$J20),"")</f>
        <v/>
      </c>
      <c r="BJ20" s="168" t="str">
        <f>IF(AND(LEN($D20)&gt;0,SUMIF($F$13:$J$13,BJ$13,$F20:$J20)&gt;0,ASISTENCIA!BG19&lt;&gt;"X",ASISTENCIA!BG19&lt;&gt;"L",ASISTENCIA!BG19&lt;&gt;"J",ASISTENCIA!BG19&lt;&gt;"F"),SUMIF($F$13:$J$13,BJ$13,$F20:$J20),"")</f>
        <v/>
      </c>
      <c r="BK20" s="168" t="str">
        <f>IF(AND(LEN($D20)&gt;0,SUMIF($F$13:$J$13,BK$13,$F20:$J20)&gt;0,ASISTENCIA!BH19&lt;&gt;"X",ASISTENCIA!BH19&lt;&gt;"L",ASISTENCIA!BH19&lt;&gt;"J",ASISTENCIA!BH19&lt;&gt;"F"),SUMIF($F$13:$J$13,BK$13,$F20:$J20),"")</f>
        <v/>
      </c>
      <c r="BL20" s="168" t="str">
        <f>IF(AND(LEN($D20)&gt;0,SUMIF($F$13:$J$13,BL$13,$F20:$J20)&gt;0,ASISTENCIA!BI19&lt;&gt;"X",ASISTENCIA!BI19&lt;&gt;"L",ASISTENCIA!BI19&lt;&gt;"J",ASISTENCIA!BI19&lt;&gt;"F"),SUMIF($F$13:$J$13,BL$13,$F20:$J20),"")</f>
        <v/>
      </c>
      <c r="BM20" s="168" t="str">
        <f>IF(AND(LEN($D20)&gt;0,SUMIF($F$13:$J$13,BM$13,$F20:$J20)&gt;0,ASISTENCIA!BJ19&lt;&gt;"X",ASISTENCIA!BJ19&lt;&gt;"L",ASISTENCIA!BJ19&lt;&gt;"J",ASISTENCIA!BJ19&lt;&gt;"F"),SUMIF($F$13:$J$13,BM$13,$F20:$J20),"")</f>
        <v/>
      </c>
      <c r="BN20" s="168" t="str">
        <f>IF(AND(LEN($D20)&gt;0,SUMIF($F$13:$J$13,BN$13,$F20:$J20)&gt;0,ASISTENCIA!BK19&lt;&gt;"X",ASISTENCIA!BK19&lt;&gt;"L",ASISTENCIA!BK19&lt;&gt;"J",ASISTENCIA!BK19&lt;&gt;"F"),SUMIF($F$13:$J$13,BN$13,$F20:$J20),"")</f>
        <v/>
      </c>
      <c r="BO20" s="168" t="str">
        <f>IF(AND(LEN($D20)&gt;0,SUMIF($F$13:$J$13,BO$13,$F20:$J20)&gt;0,ASISTENCIA!BL19&lt;&gt;"X",ASISTENCIA!BL19&lt;&gt;"L",ASISTENCIA!BL19&lt;&gt;"J",ASISTENCIA!BL19&lt;&gt;"F"),SUMIF($F$13:$J$13,BO$13,$F20:$J20),"")</f>
        <v/>
      </c>
      <c r="BP20" s="168" t="str">
        <f>IF(AND(LEN($D20)&gt;0,SUMIF($F$13:$J$13,BP$13,$F20:$J20)&gt;0,ASISTENCIA!BM19&lt;&gt;"X",ASISTENCIA!BM19&lt;&gt;"L",ASISTENCIA!BM19&lt;&gt;"J",ASISTENCIA!BM19&lt;&gt;"F"),SUMIF($F$13:$J$13,BP$13,$F20:$J20),"")</f>
        <v/>
      </c>
      <c r="BQ20" s="168" t="str">
        <f>IF(AND(LEN($D20)&gt;0,SUMIF($F$13:$J$13,BQ$13,$F20:$J20)&gt;0,ASISTENCIA!BN19&lt;&gt;"X",ASISTENCIA!BN19&lt;&gt;"L",ASISTENCIA!BN19&lt;&gt;"J",ASISTENCIA!BN19&lt;&gt;"F"),SUMIF($F$13:$J$13,BQ$13,$F20:$J20),"")</f>
        <v/>
      </c>
      <c r="BR20" s="168" t="str">
        <f>IF(AND(LEN($D20)&gt;0,SUMIF($F$13:$J$13,BR$13,$F20:$J20)&gt;0,ASISTENCIA!BO19&lt;&gt;"X",ASISTENCIA!BO19&lt;&gt;"L",ASISTENCIA!BO19&lt;&gt;"J",ASISTENCIA!BO19&lt;&gt;"F"),SUMIF($F$13:$J$13,BR$13,$F20:$J20),"")</f>
        <v/>
      </c>
      <c r="BS20" s="168" t="str">
        <f>IF(AND(LEN($D20)&gt;0,SUMIF($F$13:$J$13,BS$13,$F20:$J20)&gt;0,ASISTENCIA!BP19&lt;&gt;"X",ASISTENCIA!BP19&lt;&gt;"L",ASISTENCIA!BP19&lt;&gt;"J",ASISTENCIA!BP19&lt;&gt;"F"),SUMIF($F$13:$J$13,BS$13,$F20:$J20),"")</f>
        <v/>
      </c>
      <c r="BT20" s="168" t="str">
        <f>IF(AND(LEN($D20)&gt;0,SUMIF($F$13:$J$13,BT$13,$F20:$J20)&gt;0,ASISTENCIA!BQ19&lt;&gt;"X",ASISTENCIA!BQ19&lt;&gt;"L",ASISTENCIA!BQ19&lt;&gt;"J",ASISTENCIA!BQ19&lt;&gt;"F"),SUMIF($F$13:$J$13,BT$13,$F20:$J20),"")</f>
        <v/>
      </c>
      <c r="BU20" s="168" t="str">
        <f>IF(AND(LEN($D20)&gt;0,SUMIF($F$13:$J$13,BU$13,$F20:$J20)&gt;0,ASISTENCIA!BR19&lt;&gt;"X",ASISTENCIA!BR19&lt;&gt;"L",ASISTENCIA!BR19&lt;&gt;"J",ASISTENCIA!BR19&lt;&gt;"F"),SUMIF($F$13:$J$13,BU$13,$F20:$J20),"")</f>
        <v/>
      </c>
      <c r="BV20" s="168" t="str">
        <f>IF(AND(LEN($D20)&gt;0,SUMIF($F$13:$J$13,BV$13,$F20:$J20)&gt;0,ASISTENCIA!BS19&lt;&gt;"X",ASISTENCIA!BS19&lt;&gt;"L",ASISTENCIA!BS19&lt;&gt;"J",ASISTENCIA!BS19&lt;&gt;"F"),SUMIF($F$13:$J$13,BV$13,$F20:$J20),"")</f>
        <v/>
      </c>
      <c r="BW20" s="168" t="str">
        <f>IF(AND(LEN($D20)&gt;0,SUMIF($F$13:$J$13,BW$13,$F20:$J20)&gt;0,ASISTENCIA!BT19&lt;&gt;"X",ASISTENCIA!BT19&lt;&gt;"L",ASISTENCIA!BT19&lt;&gt;"J",ASISTENCIA!BT19&lt;&gt;"F"),SUMIF($F$13:$J$13,BW$13,$F20:$J20),"")</f>
        <v/>
      </c>
      <c r="BX20" s="168" t="str">
        <f>IF(AND(LEN($D20)&gt;0,SUMIF($F$13:$J$13,BX$13,$F20:$J20)&gt;0,ASISTENCIA!BU19&lt;&gt;"X",ASISTENCIA!BU19&lt;&gt;"L",ASISTENCIA!BU19&lt;&gt;"J",ASISTENCIA!BU19&lt;&gt;"F"),SUMIF($F$13:$J$13,BX$13,$F20:$J20),"")</f>
        <v/>
      </c>
      <c r="BY20" s="168" t="str">
        <f>IF(AND(LEN($D20)&gt;0,SUMIF($F$13:$J$13,BY$13,$F20:$J20)&gt;0,ASISTENCIA!BV19&lt;&gt;"X",ASISTENCIA!BV19&lt;&gt;"L",ASISTENCIA!BV19&lt;&gt;"J",ASISTENCIA!BV19&lt;&gt;"F"),SUMIF($F$13:$J$13,BY$13,$F20:$J20),"")</f>
        <v/>
      </c>
      <c r="BZ20" s="168" t="str">
        <f>IF(AND(LEN($D20)&gt;0,SUMIF($F$13:$J$13,BZ$13,$F20:$J20)&gt;0,ASISTENCIA!BW19&lt;&gt;"X",ASISTENCIA!BW19&lt;&gt;"L",ASISTENCIA!BW19&lt;&gt;"J",ASISTENCIA!BW19&lt;&gt;"F"),SUMIF($F$13:$J$13,BZ$13,$F20:$J20),"")</f>
        <v/>
      </c>
      <c r="CA20" s="168" t="str">
        <f>IF(AND(LEN($D20)&gt;0,SUMIF($F$13:$J$13,CA$13,$F20:$J20)&gt;0,ASISTENCIA!BX19&lt;&gt;"X",ASISTENCIA!BX19&lt;&gt;"L",ASISTENCIA!BX19&lt;&gt;"J",ASISTENCIA!BX19&lt;&gt;"F"),SUMIF($F$13:$J$13,CA$13,$F20:$J20),"")</f>
        <v/>
      </c>
      <c r="CB20" s="168" t="str">
        <f>IF(AND(LEN($D20)&gt;0,SUMIF($F$13:$J$13,CB$13,$F20:$J20)&gt;0,ASISTENCIA!BY19&lt;&gt;"X",ASISTENCIA!BY19&lt;&gt;"L",ASISTENCIA!BY19&lt;&gt;"J",ASISTENCIA!BY19&lt;&gt;"F"),SUMIF($F$13:$J$13,CB$13,$F20:$J20),"")</f>
        <v/>
      </c>
      <c r="CC20" s="182" t="str">
        <f t="shared" si="5"/>
        <v>#ERROR!</v>
      </c>
      <c r="CD20" s="157"/>
    </row>
    <row r="21" ht="12.75" customHeight="1">
      <c r="A21" s="132" t="str">
        <f t="shared" si="6"/>
        <v/>
      </c>
      <c r="B21" s="183" t="str">
        <f>IF(LEN(C21)&gt;0,VLOOKUP($O$4,DATA!$A$1:$S$1,2,FALSE),"")</f>
        <v/>
      </c>
      <c r="C21" s="184" t="str">
        <f t="shared" si="1"/>
        <v/>
      </c>
      <c r="D21" s="136" t="str">
        <f>IF(LEN(ASISTENCIA!E20)&gt;0,ASISTENCIA!E20,"")</f>
        <v/>
      </c>
      <c r="E21" s="167" t="str">
        <f>IF(LEN(D21)&gt;0,ASISTENCIA!F20,"")</f>
        <v/>
      </c>
      <c r="F21" s="180"/>
      <c r="G21" s="180"/>
      <c r="H21" s="180"/>
      <c r="I21" s="180"/>
      <c r="J21" s="180"/>
      <c r="K21" s="168" t="str">
        <f t="shared" si="2"/>
        <v/>
      </c>
      <c r="L21" s="185"/>
      <c r="M21" s="168"/>
      <c r="N21" s="168" t="str">
        <f t="shared" si="3"/>
        <v>#ERROR!</v>
      </c>
      <c r="O21" s="168" t="str">
        <f>IF(AND(LEN($D21)&gt;0,SUMIF($F$13:$J$13,O$13,$F21:$J21)&gt;0,ASISTENCIA!I20&lt;&gt;"X",ASISTENCIA!I20&lt;&gt;"L",ASISTENCIA!I20&lt;&gt;"J",ASISTENCIA!I20&lt;&gt;"V",ASISTENCIA!I20&lt;&gt;"F",ASISTENCIA!I20&lt;&gt;""),SUMIF($F$13:$J$13,O$13,$F21:$J21),"")</f>
        <v/>
      </c>
      <c r="P21" s="168" t="str">
        <f>IF(AND(LEN($D21)&gt;0,SUMIF($F$13:$J$13,P$13,$F21:$J21)&gt;0,ASISTENCIA!J20&lt;&gt;"X",ASISTENCIA!J20&lt;&gt;"L",ASISTENCIA!J20&lt;&gt;"J",ASISTENCIA!J20&lt;&gt;"V",ASISTENCIA!J20&lt;&gt;"F",ASISTENCIA!J20&lt;&gt;""),SUMIF($F$13:$J$13,P$13,$F21:$J21),"")</f>
        <v/>
      </c>
      <c r="Q21" s="168" t="str">
        <f>IF(AND(LEN($D21)&gt;0,SUMIF($F$13:$J$13,Q$13,$F21:$J21)&gt;0,ASISTENCIA!K20&lt;&gt;"X",ASISTENCIA!K20&lt;&gt;"L",ASISTENCIA!K20&lt;&gt;"J",ASISTENCIA!K20&lt;&gt;"V",ASISTENCIA!K20&lt;&gt;"F",ASISTENCIA!K20&lt;&gt;""),SUMIF($F$13:$J$13,Q$13,$F21:$J21),"")</f>
        <v/>
      </c>
      <c r="R21" s="168" t="str">
        <f>IF(AND(LEN($D21)&gt;0,SUMIF($F$13:$J$13,R$13,$F21:$J21)&gt;0,ASISTENCIA!L20&lt;&gt;"X",ASISTENCIA!L20&lt;&gt;"L",ASISTENCIA!L20&lt;&gt;"J",ASISTENCIA!L20&lt;&gt;"V",ASISTENCIA!L20&lt;&gt;"F",ASISTENCIA!L20&lt;&gt;""),SUMIF($F$13:$J$13,R$13,$F21:$J21),"")</f>
        <v/>
      </c>
      <c r="S21" s="168" t="str">
        <f>IF(AND(LEN($D21)&gt;0,SUMIF($F$13:$J$13,S$13,$F21:$J21)&gt;0,ASISTENCIA!M20&lt;&gt;"X",ASISTENCIA!M20&lt;&gt;"L",ASISTENCIA!M20&lt;&gt;"J",ASISTENCIA!M20&lt;&gt;"V",ASISTENCIA!M20&lt;&gt;"F",ASISTENCIA!M20&lt;&gt;""),SUMIF($F$13:$J$13,S$13,$F21:$J21),"")</f>
        <v/>
      </c>
      <c r="T21" s="168" t="str">
        <f>IF(AND(LEN($D21)&gt;0,SUMIF($F$13:$J$13,T$13,$F21:$J21)&gt;0,ASISTENCIA!N20&lt;&gt;"X",ASISTENCIA!N20&lt;&gt;"L",ASISTENCIA!N20&lt;&gt;"J",ASISTENCIA!N20&lt;&gt;"V",ASISTENCIA!N20&lt;&gt;"F",ASISTENCIA!N20&lt;&gt;""),SUMIF($F$13:$J$13,T$13,$F21:$J21),"")</f>
        <v/>
      </c>
      <c r="U21" s="168" t="str">
        <f>IF(AND(LEN($D21)&gt;0,SUMIF($F$13:$J$13,U$13,$F21:$J21)&gt;0,ASISTENCIA!O20&lt;&gt;"X",ASISTENCIA!O20&lt;&gt;"L",ASISTENCIA!O20&lt;&gt;"J",ASISTENCIA!O20&lt;&gt;"V",ASISTENCIA!O20&lt;&gt;"F",ASISTENCIA!O20&lt;&gt;""),SUMIF($F$13:$J$13,U$13,$F21:$J21),"")</f>
        <v/>
      </c>
      <c r="V21" s="168" t="str">
        <f>IF(AND(LEN($D21)&gt;0,SUMIF($F$13:$J$13,V$13,$F21:$J21)&gt;0,ASISTENCIA!P20&lt;&gt;"X",ASISTENCIA!P20&lt;&gt;"L",ASISTENCIA!P20&lt;&gt;"J",ASISTENCIA!P20&lt;&gt;"V",ASISTENCIA!P20&lt;&gt;"F",ASISTENCIA!P20&lt;&gt;""),SUMIF($F$13:$J$13,V$13,$F21:$J21),"")</f>
        <v/>
      </c>
      <c r="W21" s="168" t="str">
        <f>IF(AND(LEN($D21)&gt;0,SUMIF($F$13:$J$13,W$13,$F21:$J21)&gt;0,ASISTENCIA!Q20&lt;&gt;"X",ASISTENCIA!Q20&lt;&gt;"L",ASISTENCIA!Q20&lt;&gt;"J",ASISTENCIA!Q20&lt;&gt;"V",ASISTENCIA!Q20&lt;&gt;"F",ASISTENCIA!Q20&lt;&gt;""),SUMIF($F$13:$J$13,W$13,$F21:$J21),"")</f>
        <v/>
      </c>
      <c r="X21" s="168" t="str">
        <f>IF(AND(LEN($D21)&gt;0,SUMIF($F$13:$J$13,X$13,$F21:$J21)&gt;0,ASISTENCIA!R20&lt;&gt;"X",ASISTENCIA!R20&lt;&gt;"L",ASISTENCIA!R20&lt;&gt;"J",ASISTENCIA!R20&lt;&gt;"V",ASISTENCIA!R20&lt;&gt;"F",ASISTENCIA!R20&lt;&gt;""),SUMIF($F$13:$J$13,X$13,$F21:$J21),"")</f>
        <v/>
      </c>
      <c r="Y21" s="168" t="str">
        <f>IF(AND(LEN($D21)&gt;0,SUMIF($F$13:$J$13,Y$13,$F21:$J21)&gt;0,ASISTENCIA!S20&lt;&gt;"X",ASISTENCIA!S20&lt;&gt;"L",ASISTENCIA!S20&lt;&gt;"J",ASISTENCIA!S20&lt;&gt;"V",ASISTENCIA!S20&lt;&gt;"F",ASISTENCIA!S20&lt;&gt;""),SUMIF($F$13:$J$13,Y$13,$F21:$J21),"")</f>
        <v/>
      </c>
      <c r="Z21" s="168" t="str">
        <f>IF(AND(LEN($D21)&gt;0,SUMIF($F$13:$J$13,Z$13,$F21:$J21)&gt;0,ASISTENCIA!T20&lt;&gt;"X",ASISTENCIA!T20&lt;&gt;"L",ASISTENCIA!T20&lt;&gt;"J",ASISTENCIA!T20&lt;&gt;"V",ASISTENCIA!T20&lt;&gt;"F",ASISTENCIA!T20&lt;&gt;""),SUMIF($F$13:$J$13,Z$13,$F21:$J21),"")</f>
        <v/>
      </c>
      <c r="AA21" s="168" t="str">
        <f>IF(AND(LEN($D21)&gt;0,SUMIF($F$13:$J$13,AA$13,$F21:$J21)&gt;0,ASISTENCIA!U20&lt;&gt;"X",ASISTENCIA!U20&lt;&gt;"L",ASISTENCIA!U20&lt;&gt;"J",ASISTENCIA!U20&lt;&gt;"V",ASISTENCIA!U20&lt;&gt;"F",ASISTENCIA!U20&lt;&gt;""),SUMIF($F$13:$J$13,AA$13,$F21:$J21),"")</f>
        <v/>
      </c>
      <c r="AB21" s="168" t="str">
        <f>IF(AND(LEN($D21)&gt;0,SUMIF($F$13:$J$13,AB$13,$F21:$J21)&gt;0,ASISTENCIA!V20&lt;&gt;"X",ASISTENCIA!V20&lt;&gt;"L",ASISTENCIA!V20&lt;&gt;"J",ASISTENCIA!V20&lt;&gt;"V",ASISTENCIA!V20&lt;&gt;"F",ASISTENCIA!V20&lt;&gt;""),SUMIF($F$13:$J$13,AB$13,$F21:$J21),"")</f>
        <v/>
      </c>
      <c r="AC21" s="168" t="str">
        <f>IF(AND(LEN($D21)&gt;0,SUMIF($F$13:$J$13,AC$13,$F21:$J21)&gt;0,ASISTENCIA!W20&lt;&gt;"X",ASISTENCIA!W20&lt;&gt;"L",ASISTENCIA!W20&lt;&gt;"J",ASISTENCIA!W20&lt;&gt;"V",ASISTENCIA!W20&lt;&gt;"F",ASISTENCIA!W20&lt;&gt;""),SUMIF($F$13:$J$13,AC$13,$F21:$J21),"")</f>
        <v/>
      </c>
      <c r="AD21" s="168" t="str">
        <f>IF(AND(LEN($D21)&gt;0,SUMIF($F$13:$J$13,AD$13,$F21:$J21)&gt;0,ASISTENCIA!X20&lt;&gt;"X",ASISTENCIA!X20&lt;&gt;"L",ASISTENCIA!X20&lt;&gt;"J",ASISTENCIA!X20&lt;&gt;"V",ASISTENCIA!X20&lt;&gt;"F",ASISTENCIA!X20&lt;&gt;""),SUMIF($F$13:$J$13,AD$13,$F21:$J21),"")</f>
        <v/>
      </c>
      <c r="AE21" s="168" t="str">
        <f>IF(AND(LEN($D21)&gt;0,SUMIF($F$13:$J$13,AE$13,$F21:$J21)&gt;0,ASISTENCIA!Y20&lt;&gt;"X",ASISTENCIA!Y20&lt;&gt;"L",ASISTENCIA!Y20&lt;&gt;"J",ASISTENCIA!Y20&lt;&gt;"V",ASISTENCIA!Y20&lt;&gt;"F",ASISTENCIA!Y20&lt;&gt;""),SUMIF($F$13:$J$13,AE$13,$F21:$J21),"")</f>
        <v/>
      </c>
      <c r="AF21" s="168" t="str">
        <f>IF(AND(LEN($D21)&gt;0,SUMIF($F$13:$J$13,AF$13,$F21:$J21)&gt;0,ASISTENCIA!Z20&lt;&gt;"X",ASISTENCIA!Z20&lt;&gt;"L",ASISTENCIA!Z20&lt;&gt;"J",ASISTENCIA!Z20&lt;&gt;"V",ASISTENCIA!Z20&lt;&gt;"F",ASISTENCIA!Z20&lt;&gt;""),SUMIF($F$13:$J$13,AF$13,$F21:$J21),"")</f>
        <v/>
      </c>
      <c r="AG21" s="168" t="str">
        <f>IF(AND(LEN($D21)&gt;0,SUMIF($F$13:$J$13,AG$13,$F21:$J21)&gt;0,ASISTENCIA!AA20&lt;&gt;"X",ASISTENCIA!AA20&lt;&gt;"L",ASISTENCIA!AA20&lt;&gt;"J",ASISTENCIA!AA20&lt;&gt;"V",ASISTENCIA!AA20&lt;&gt;"F",ASISTENCIA!AA20&lt;&gt;""),SUMIF($F$13:$J$13,AG$13,$F21:$J21),"")</f>
        <v/>
      </c>
      <c r="AH21" s="168" t="str">
        <f>IF(AND(LEN($D21)&gt;0,SUMIF($F$13:$J$13,AH$13,$F21:$J21)&gt;0,ASISTENCIA!AB20&lt;&gt;"X",ASISTENCIA!AB20&lt;&gt;"L",ASISTENCIA!AB20&lt;&gt;"J",ASISTENCIA!AB20&lt;&gt;"V",ASISTENCIA!AB20&lt;&gt;"F",ASISTENCIA!AB20&lt;&gt;""),SUMIF($F$13:$J$13,AH$13,$F21:$J21),"")</f>
        <v/>
      </c>
      <c r="AI21" s="168" t="str">
        <f>IF(AND(LEN($D21)&gt;0,SUMIF($F$13:$J$13,AI$13,$F21:$J21)&gt;0,ASISTENCIA!AC20&lt;&gt;"X",ASISTENCIA!AC20&lt;&gt;"L",ASISTENCIA!AC20&lt;&gt;"J",ASISTENCIA!AC20&lt;&gt;"V",ASISTENCIA!AC20&lt;&gt;"F",ASISTENCIA!AC20&lt;&gt;""),SUMIF($F$13:$J$13,AI$13,$F21:$J21),"")</f>
        <v/>
      </c>
      <c r="AJ21" s="168" t="str">
        <f>IF(AND(LEN($D21)&gt;0,SUMIF($F$13:$J$13,AJ$13,$F21:$J21)&gt;0,ASISTENCIA!AD20&lt;&gt;"X",ASISTENCIA!AD20&lt;&gt;"L",ASISTENCIA!AD20&lt;&gt;"J",ASISTENCIA!AD20&lt;&gt;"V",ASISTENCIA!AD20&lt;&gt;"F",ASISTENCIA!AD20&lt;&gt;""),SUMIF($F$13:$J$13,AJ$13,$F21:$J21),"")</f>
        <v/>
      </c>
      <c r="AK21" s="168" t="str">
        <f>IF(AND(LEN($D21)&gt;0,SUMIF($F$13:$J$13,AK$13,$F21:$J21)&gt;0,ASISTENCIA!AE20&lt;&gt;"X",ASISTENCIA!AE20&lt;&gt;"L",ASISTENCIA!AE20&lt;&gt;"J",ASISTENCIA!AE20&lt;&gt;"V",ASISTENCIA!AE20&lt;&gt;"F",ASISTENCIA!AE20&lt;&gt;""),SUMIF($F$13:$J$13,AK$13,$F21:$J21),"")</f>
        <v/>
      </c>
      <c r="AL21" s="168" t="str">
        <f>IF(AND(LEN($D21)&gt;0,SUMIF($F$13:$J$13,AL$13,$F21:$J21)&gt;0,ASISTENCIA!AF20&lt;&gt;"X",ASISTENCIA!AF20&lt;&gt;"L",ASISTENCIA!AF20&lt;&gt;"J",ASISTENCIA!AF20&lt;&gt;"V",ASISTENCIA!AF20&lt;&gt;"F",ASISTENCIA!AF20&lt;&gt;""),SUMIF($F$13:$J$13,AL$13,$F21:$J21),"")</f>
        <v/>
      </c>
      <c r="AM21" s="168" t="str">
        <f>IF(AND(LEN($D21)&gt;0,SUMIF($F$13:$J$13,AM$13,$F21:$J21)&gt;0,ASISTENCIA!AG20&lt;&gt;"X",ASISTENCIA!AG20&lt;&gt;"L",ASISTENCIA!AG20&lt;&gt;"J",ASISTENCIA!AG20&lt;&gt;"V",ASISTENCIA!AG20&lt;&gt;"F",ASISTENCIA!AG20&lt;&gt;""),SUMIF($F$13:$J$13,AM$13,$F21:$J21),"")</f>
        <v/>
      </c>
      <c r="AN21" s="168" t="str">
        <f>IF(AND(LEN($D21)&gt;0,SUMIF($F$13:$J$13,AN$13,$F21:$J21)&gt;0,ASISTENCIA!AH20&lt;&gt;"X",ASISTENCIA!AH20&lt;&gt;"L",ASISTENCIA!AH20&lt;&gt;"J",ASISTENCIA!AH20&lt;&gt;"V",ASISTENCIA!AH20&lt;&gt;"F",ASISTENCIA!AH20&lt;&gt;""),SUMIF($F$13:$J$13,AN$13,$F21:$J21),"")</f>
        <v/>
      </c>
      <c r="AO21" s="168" t="str">
        <f>IF(AND(LEN($D21)&gt;0,SUMIF($F$13:$J$13,AO$13,$F21:$J21)&gt;0,ASISTENCIA!AI20&lt;&gt;"X",ASISTENCIA!AI20&lt;&gt;"L",ASISTENCIA!AI20&lt;&gt;"J",ASISTENCIA!AI20&lt;&gt;"V",ASISTENCIA!AI20&lt;&gt;"F",ASISTENCIA!AI20&lt;&gt;""),SUMIF($F$13:$J$13,AO$13,$F21:$J21),"")</f>
        <v/>
      </c>
      <c r="AP21" s="168" t="str">
        <f>IF(AND(LEN($D21)&gt;0,SUMIF($F$13:$J$13,AP$13,$F21:$J21)&gt;0,ASISTENCIA!AJ20&lt;&gt;"X",ASISTENCIA!AJ20&lt;&gt;"L",ASISTENCIA!AJ20&lt;&gt;"J",ASISTENCIA!AJ20&lt;&gt;"V",ASISTENCIA!AJ20&lt;&gt;"F",ASISTENCIA!AJ20&lt;&gt;""),SUMIF($F$13:$J$13,AP$13,$F21:$J21),"")</f>
        <v/>
      </c>
      <c r="AQ21" s="168" t="str">
        <f>IF(AND(LEN($D21)&gt;0,SUMIF($F$13:$J$13,AQ$13,$F21:$J21)&gt;0,ASISTENCIA!AK20&lt;&gt;"X",ASISTENCIA!AK20&lt;&gt;"L",ASISTENCIA!AK20&lt;&gt;"J",ASISTENCIA!AK20&lt;&gt;"V",ASISTENCIA!AK20&lt;&gt;"F",ASISTENCIA!AK20&lt;&gt;""),SUMIF($F$13:$J$13,AQ$13,$F21:$J21),"")</f>
        <v/>
      </c>
      <c r="AR21" s="168" t="str">
        <f>IF(AND(LEN($D21)&gt;0,SUMIF($F$13:$J$13,AR$13,$F21:$J21)&gt;0,ASISTENCIA!AL20&lt;&gt;"X",ASISTENCIA!AL20&lt;&gt;"L",ASISTENCIA!AL20&lt;&gt;"J",ASISTENCIA!AL20&lt;&gt;"V",ASISTENCIA!AL20&lt;&gt;"F",ASISTENCIA!AL20&lt;&gt;""),SUMIF($F$13:$J$13,AR$13,$F21:$J21),"")</f>
        <v/>
      </c>
      <c r="AS21" s="168" t="str">
        <f>IF(AND(LEN($D21)&gt;0,SUMIF($F$13:$J$13,AS$13,$F21:$J21)&gt;0,ASISTENCIA!AM20&lt;&gt;"X",ASISTENCIA!AM20&lt;&gt;"L",ASISTENCIA!AM20&lt;&gt;"J",ASISTENCIA!AM20&lt;&gt;"V",ASISTENCIA!AM20&lt;&gt;"F",ASISTENCIA!AM20&lt;&gt;""),SUMIF($F$13:$J$13,AS$13,$F21:$J21),"")</f>
        <v/>
      </c>
      <c r="AT21" s="182" t="str">
        <f t="shared" si="4"/>
        <v/>
      </c>
      <c r="AU21" s="157"/>
      <c r="AV21" s="157"/>
      <c r="AW21" s="157"/>
      <c r="AX21" s="168" t="str">
        <f>IF(AND(LEN($D21)&gt;0,SUMIF($F$13:$J$13,AX$13,$F21:$J21)&gt;0,ASISTENCIA!AU20&lt;&gt;"X",ASISTENCIA!AU20&lt;&gt;"L",ASISTENCIA!AU20&lt;&gt;"J",ASISTENCIA!AU20&lt;&gt;"F"),SUMIF($F$13:$J$13,AX$13,$F21:$J21),"")</f>
        <v/>
      </c>
      <c r="AY21" s="168" t="str">
        <f>IF(AND(LEN($D21)&gt;0,SUMIF($F$13:$J$13,AY$13,$F21:$J21)&gt;0,ASISTENCIA!AV20&lt;&gt;"X",ASISTENCIA!AV20&lt;&gt;"L",ASISTENCIA!AV20&lt;&gt;"J",ASISTENCIA!AV20&lt;&gt;"F"),SUMIF($F$13:$J$13,AY$13,$F21:$J21),"")</f>
        <v/>
      </c>
      <c r="AZ21" s="168" t="str">
        <f>IF(AND(LEN($D21)&gt;0,SUMIF($F$13:$J$13,AZ$13,$F21:$J21)&gt;0,ASISTENCIA!AW20&lt;&gt;"X",ASISTENCIA!AW20&lt;&gt;"L",ASISTENCIA!AW20&lt;&gt;"J",ASISTENCIA!AW20&lt;&gt;"F"),SUMIF($F$13:$J$13,AZ$13,$F21:$J21),"")</f>
        <v/>
      </c>
      <c r="BA21" s="168" t="str">
        <f>IF(AND(LEN($D21)&gt;0,SUMIF($F$13:$J$13,BA$13,$F21:$J21)&gt;0,ASISTENCIA!AX20&lt;&gt;"X",ASISTENCIA!AX20&lt;&gt;"L",ASISTENCIA!AX20&lt;&gt;"J",ASISTENCIA!AX20&lt;&gt;"F"),SUMIF($F$13:$J$13,BA$13,$F21:$J21),"")</f>
        <v/>
      </c>
      <c r="BB21" s="168" t="str">
        <f>IF(AND(LEN($D21)&gt;0,SUMIF($F$13:$J$13,BB$13,$F21:$J21)&gt;0,ASISTENCIA!AY20&lt;&gt;"X",ASISTENCIA!AY20&lt;&gt;"L",ASISTENCIA!AY20&lt;&gt;"J",ASISTENCIA!AY20&lt;&gt;"F"),SUMIF($F$13:$J$13,BB$13,$F21:$J21),"")</f>
        <v/>
      </c>
      <c r="BC21" s="168" t="str">
        <f>IF(AND(LEN($D21)&gt;0,SUMIF($F$13:$J$13,BC$13,$F21:$J21)&gt;0,ASISTENCIA!AZ20&lt;&gt;"X",ASISTENCIA!AZ20&lt;&gt;"L",ASISTENCIA!AZ20&lt;&gt;"J",ASISTENCIA!AZ20&lt;&gt;"F"),SUMIF($F$13:$J$13,BC$13,$F21:$J21),"")</f>
        <v/>
      </c>
      <c r="BD21" s="168" t="str">
        <f>IF(AND(LEN($D21)&gt;0,SUMIF($F$13:$J$13,BD$13,$F21:$J21)&gt;0,ASISTENCIA!BA20&lt;&gt;"X",ASISTENCIA!BA20&lt;&gt;"L",ASISTENCIA!BA20&lt;&gt;"J",ASISTENCIA!BA20&lt;&gt;"F"),SUMIF($F$13:$J$13,BD$13,$F21:$J21),"")</f>
        <v/>
      </c>
      <c r="BE21" s="168" t="str">
        <f>IF(AND(LEN($D21)&gt;0,SUMIF($F$13:$J$13,BE$13,$F21:$J21)&gt;0,ASISTENCIA!BB20&lt;&gt;"X",ASISTENCIA!BB20&lt;&gt;"L",ASISTENCIA!BB20&lt;&gt;"J",ASISTENCIA!BB20&lt;&gt;"F"),SUMIF($F$13:$J$13,BE$13,$F21:$J21),"")</f>
        <v/>
      </c>
      <c r="BF21" s="168" t="str">
        <f>IF(AND(LEN($D21)&gt;0,SUMIF($F$13:$J$13,BF$13,$F21:$J21)&gt;0,ASISTENCIA!#REF!&lt;&gt;"X",ASISTENCIA!#REF!&lt;&gt;"L",ASISTENCIA!#REF!&lt;&gt;"J",ASISTENCIA!#REF!&lt;&gt;"F"),SUMIF($F$13:$J$13,BF$13,$F21:$J21),"")</f>
        <v>#ERROR!</v>
      </c>
      <c r="BG21" s="168" t="str">
        <f>IF(AND(LEN($D21)&gt;0,SUMIF($F$13:$J$13,BG$13,$F21:$J21)&gt;0,ASISTENCIA!#REF!&lt;&gt;"X",ASISTENCIA!#REF!&lt;&gt;"L",ASISTENCIA!#REF!&lt;&gt;"J",ASISTENCIA!#REF!&lt;&gt;"F"),SUMIF($F$13:$J$13,BG$13,$F21:$J21),"")</f>
        <v>#ERROR!</v>
      </c>
      <c r="BH21" s="168" t="str">
        <f>IF(AND(LEN($D21)&gt;0,SUMIF($F$13:$J$13,BH$13,$F21:$J21)&gt;0,ASISTENCIA!BE20&lt;&gt;"X",ASISTENCIA!BE20&lt;&gt;"L",ASISTENCIA!BE20&lt;&gt;"J",ASISTENCIA!BE20&lt;&gt;"F"),SUMIF($F$13:$J$13,BH$13,$F21:$J21),"")</f>
        <v/>
      </c>
      <c r="BI21" s="168" t="str">
        <f>IF(AND(LEN($D21)&gt;0,SUMIF($F$13:$J$13,BI$13,$F21:$J21)&gt;0,ASISTENCIA!BF20&lt;&gt;"X",ASISTENCIA!BF20&lt;&gt;"L",ASISTENCIA!BF20&lt;&gt;"J",ASISTENCIA!BF20&lt;&gt;"F"),SUMIF($F$13:$J$13,BI$13,$F21:$J21),"")</f>
        <v/>
      </c>
      <c r="BJ21" s="168" t="str">
        <f>IF(AND(LEN($D21)&gt;0,SUMIF($F$13:$J$13,BJ$13,$F21:$J21)&gt;0,ASISTENCIA!BG20&lt;&gt;"X",ASISTENCIA!BG20&lt;&gt;"L",ASISTENCIA!BG20&lt;&gt;"J",ASISTENCIA!BG20&lt;&gt;"F"),SUMIF($F$13:$J$13,BJ$13,$F21:$J21),"")</f>
        <v/>
      </c>
      <c r="BK21" s="168" t="str">
        <f>IF(AND(LEN($D21)&gt;0,SUMIF($F$13:$J$13,BK$13,$F21:$J21)&gt;0,ASISTENCIA!BH20&lt;&gt;"X",ASISTENCIA!BH20&lt;&gt;"L",ASISTENCIA!BH20&lt;&gt;"J",ASISTENCIA!BH20&lt;&gt;"F"),SUMIF($F$13:$J$13,BK$13,$F21:$J21),"")</f>
        <v/>
      </c>
      <c r="BL21" s="168" t="str">
        <f>IF(AND(LEN($D21)&gt;0,SUMIF($F$13:$J$13,BL$13,$F21:$J21)&gt;0,ASISTENCIA!BI20&lt;&gt;"X",ASISTENCIA!BI20&lt;&gt;"L",ASISTENCIA!BI20&lt;&gt;"J",ASISTENCIA!BI20&lt;&gt;"F"),SUMIF($F$13:$J$13,BL$13,$F21:$J21),"")</f>
        <v/>
      </c>
      <c r="BM21" s="168" t="str">
        <f>IF(AND(LEN($D21)&gt;0,SUMIF($F$13:$J$13,BM$13,$F21:$J21)&gt;0,ASISTENCIA!BJ20&lt;&gt;"X",ASISTENCIA!BJ20&lt;&gt;"L",ASISTENCIA!BJ20&lt;&gt;"J",ASISTENCIA!BJ20&lt;&gt;"F"),SUMIF($F$13:$J$13,BM$13,$F21:$J21),"")</f>
        <v/>
      </c>
      <c r="BN21" s="168" t="str">
        <f>IF(AND(LEN($D21)&gt;0,SUMIF($F$13:$J$13,BN$13,$F21:$J21)&gt;0,ASISTENCIA!BK20&lt;&gt;"X",ASISTENCIA!BK20&lt;&gt;"L",ASISTENCIA!BK20&lt;&gt;"J",ASISTENCIA!BK20&lt;&gt;"F"),SUMIF($F$13:$J$13,BN$13,$F21:$J21),"")</f>
        <v/>
      </c>
      <c r="BO21" s="168" t="str">
        <f>IF(AND(LEN($D21)&gt;0,SUMIF($F$13:$J$13,BO$13,$F21:$J21)&gt;0,ASISTENCIA!BL20&lt;&gt;"X",ASISTENCIA!BL20&lt;&gt;"L",ASISTENCIA!BL20&lt;&gt;"J",ASISTENCIA!BL20&lt;&gt;"F"),SUMIF($F$13:$J$13,BO$13,$F21:$J21),"")</f>
        <v/>
      </c>
      <c r="BP21" s="168" t="str">
        <f>IF(AND(LEN($D21)&gt;0,SUMIF($F$13:$J$13,BP$13,$F21:$J21)&gt;0,ASISTENCIA!BM20&lt;&gt;"X",ASISTENCIA!BM20&lt;&gt;"L",ASISTENCIA!BM20&lt;&gt;"J",ASISTENCIA!BM20&lt;&gt;"F"),SUMIF($F$13:$J$13,BP$13,$F21:$J21),"")</f>
        <v/>
      </c>
      <c r="BQ21" s="168" t="str">
        <f>IF(AND(LEN($D21)&gt;0,SUMIF($F$13:$J$13,BQ$13,$F21:$J21)&gt;0,ASISTENCIA!BN20&lt;&gt;"X",ASISTENCIA!BN20&lt;&gt;"L",ASISTENCIA!BN20&lt;&gt;"J",ASISTENCIA!BN20&lt;&gt;"F"),SUMIF($F$13:$J$13,BQ$13,$F21:$J21),"")</f>
        <v/>
      </c>
      <c r="BR21" s="168" t="str">
        <f>IF(AND(LEN($D21)&gt;0,SUMIF($F$13:$J$13,BR$13,$F21:$J21)&gt;0,ASISTENCIA!BO20&lt;&gt;"X",ASISTENCIA!BO20&lt;&gt;"L",ASISTENCIA!BO20&lt;&gt;"J",ASISTENCIA!BO20&lt;&gt;"F"),SUMIF($F$13:$J$13,BR$13,$F21:$J21),"")</f>
        <v/>
      </c>
      <c r="BS21" s="168" t="str">
        <f>IF(AND(LEN($D21)&gt;0,SUMIF($F$13:$J$13,BS$13,$F21:$J21)&gt;0,ASISTENCIA!BP20&lt;&gt;"X",ASISTENCIA!BP20&lt;&gt;"L",ASISTENCIA!BP20&lt;&gt;"J",ASISTENCIA!BP20&lt;&gt;"F"),SUMIF($F$13:$J$13,BS$13,$F21:$J21),"")</f>
        <v/>
      </c>
      <c r="BT21" s="168" t="str">
        <f>IF(AND(LEN($D21)&gt;0,SUMIF($F$13:$J$13,BT$13,$F21:$J21)&gt;0,ASISTENCIA!BQ20&lt;&gt;"X",ASISTENCIA!BQ20&lt;&gt;"L",ASISTENCIA!BQ20&lt;&gt;"J",ASISTENCIA!BQ20&lt;&gt;"F"),SUMIF($F$13:$J$13,BT$13,$F21:$J21),"")</f>
        <v/>
      </c>
      <c r="BU21" s="168" t="str">
        <f>IF(AND(LEN($D21)&gt;0,SUMIF($F$13:$J$13,BU$13,$F21:$J21)&gt;0,ASISTENCIA!BR20&lt;&gt;"X",ASISTENCIA!BR20&lt;&gt;"L",ASISTENCIA!BR20&lt;&gt;"J",ASISTENCIA!BR20&lt;&gt;"F"),SUMIF($F$13:$J$13,BU$13,$F21:$J21),"")</f>
        <v/>
      </c>
      <c r="BV21" s="168" t="str">
        <f>IF(AND(LEN($D21)&gt;0,SUMIF($F$13:$J$13,BV$13,$F21:$J21)&gt;0,ASISTENCIA!BS20&lt;&gt;"X",ASISTENCIA!BS20&lt;&gt;"L",ASISTENCIA!BS20&lt;&gt;"J",ASISTENCIA!BS20&lt;&gt;"F"),SUMIF($F$13:$J$13,BV$13,$F21:$J21),"")</f>
        <v/>
      </c>
      <c r="BW21" s="168" t="str">
        <f>IF(AND(LEN($D21)&gt;0,SUMIF($F$13:$J$13,BW$13,$F21:$J21)&gt;0,ASISTENCIA!BT20&lt;&gt;"X",ASISTENCIA!BT20&lt;&gt;"L",ASISTENCIA!BT20&lt;&gt;"J",ASISTENCIA!BT20&lt;&gt;"F"),SUMIF($F$13:$J$13,BW$13,$F21:$J21),"")</f>
        <v/>
      </c>
      <c r="BX21" s="168" t="str">
        <f>IF(AND(LEN($D21)&gt;0,SUMIF($F$13:$J$13,BX$13,$F21:$J21)&gt;0,ASISTENCIA!BU20&lt;&gt;"X",ASISTENCIA!BU20&lt;&gt;"L",ASISTENCIA!BU20&lt;&gt;"J",ASISTENCIA!BU20&lt;&gt;"F"),SUMIF($F$13:$J$13,BX$13,$F21:$J21),"")</f>
        <v/>
      </c>
      <c r="BY21" s="168" t="str">
        <f>IF(AND(LEN($D21)&gt;0,SUMIF($F$13:$J$13,BY$13,$F21:$J21)&gt;0,ASISTENCIA!BV20&lt;&gt;"X",ASISTENCIA!BV20&lt;&gt;"L",ASISTENCIA!BV20&lt;&gt;"J",ASISTENCIA!BV20&lt;&gt;"F"),SUMIF($F$13:$J$13,BY$13,$F21:$J21),"")</f>
        <v/>
      </c>
      <c r="BZ21" s="168" t="str">
        <f>IF(AND(LEN($D21)&gt;0,SUMIF($F$13:$J$13,BZ$13,$F21:$J21)&gt;0,ASISTENCIA!BW20&lt;&gt;"X",ASISTENCIA!BW20&lt;&gt;"L",ASISTENCIA!BW20&lt;&gt;"J",ASISTENCIA!BW20&lt;&gt;"F"),SUMIF($F$13:$J$13,BZ$13,$F21:$J21),"")</f>
        <v/>
      </c>
      <c r="CA21" s="168" t="str">
        <f>IF(AND(LEN($D21)&gt;0,SUMIF($F$13:$J$13,CA$13,$F21:$J21)&gt;0,ASISTENCIA!BX20&lt;&gt;"X",ASISTENCIA!BX20&lt;&gt;"L",ASISTENCIA!BX20&lt;&gt;"J",ASISTENCIA!BX20&lt;&gt;"F"),SUMIF($F$13:$J$13,CA$13,$F21:$J21),"")</f>
        <v/>
      </c>
      <c r="CB21" s="168" t="str">
        <f>IF(AND(LEN($D21)&gt;0,SUMIF($F$13:$J$13,CB$13,$F21:$J21)&gt;0,ASISTENCIA!BY20&lt;&gt;"X",ASISTENCIA!BY20&lt;&gt;"L",ASISTENCIA!BY20&lt;&gt;"J",ASISTENCIA!BY20&lt;&gt;"F"),SUMIF($F$13:$J$13,CB$13,$F21:$J21),"")</f>
        <v/>
      </c>
      <c r="CC21" s="182" t="str">
        <f t="shared" si="5"/>
        <v>#ERROR!</v>
      </c>
      <c r="CD21" s="157"/>
    </row>
    <row r="22" ht="12.75" customHeight="1">
      <c r="A22" s="132" t="str">
        <f t="shared" si="6"/>
        <v/>
      </c>
      <c r="B22" s="183" t="str">
        <f>IF(LEN(C22)&gt;0,VLOOKUP($O$4,DATA!$A$1:$S$1,2,FALSE),"")</f>
        <v/>
      </c>
      <c r="C22" s="184" t="str">
        <f t="shared" si="1"/>
        <v/>
      </c>
      <c r="D22" s="136" t="str">
        <f>IF(LEN(ASISTENCIA!E21)&gt;0,ASISTENCIA!E21,"")</f>
        <v/>
      </c>
      <c r="E22" s="167" t="str">
        <f>IF(LEN(D22)&gt;0,ASISTENCIA!F21,"")</f>
        <v/>
      </c>
      <c r="F22" s="180"/>
      <c r="G22" s="180"/>
      <c r="H22" s="180"/>
      <c r="I22" s="180"/>
      <c r="J22" s="180"/>
      <c r="K22" s="168" t="str">
        <f t="shared" si="2"/>
        <v/>
      </c>
      <c r="L22" s="185"/>
      <c r="M22" s="168"/>
      <c r="N22" s="168" t="str">
        <f t="shared" si="3"/>
        <v>#ERROR!</v>
      </c>
      <c r="O22" s="168" t="str">
        <f>IF(AND(LEN($D22)&gt;0,SUMIF($F$13:$J$13,O$13,$F22:$J22)&gt;0,ASISTENCIA!I21&lt;&gt;"X",ASISTENCIA!I21&lt;&gt;"L",ASISTENCIA!I21&lt;&gt;"J",ASISTENCIA!I21&lt;&gt;"V",ASISTENCIA!I21&lt;&gt;"F",ASISTENCIA!I21&lt;&gt;""),SUMIF($F$13:$J$13,O$13,$F22:$J22),"")</f>
        <v/>
      </c>
      <c r="P22" s="168" t="str">
        <f>IF(AND(LEN($D22)&gt;0,SUMIF($F$13:$J$13,P$13,$F22:$J22)&gt;0,ASISTENCIA!J21&lt;&gt;"X",ASISTENCIA!J21&lt;&gt;"L",ASISTENCIA!J21&lt;&gt;"J",ASISTENCIA!J21&lt;&gt;"V",ASISTENCIA!J21&lt;&gt;"F",ASISTENCIA!J21&lt;&gt;""),SUMIF($F$13:$J$13,P$13,$F22:$J22),"")</f>
        <v/>
      </c>
      <c r="Q22" s="168" t="str">
        <f>IF(AND(LEN($D22)&gt;0,SUMIF($F$13:$J$13,Q$13,$F22:$J22)&gt;0,ASISTENCIA!K21&lt;&gt;"X",ASISTENCIA!K21&lt;&gt;"L",ASISTENCIA!K21&lt;&gt;"J",ASISTENCIA!K21&lt;&gt;"V",ASISTENCIA!K21&lt;&gt;"F",ASISTENCIA!K21&lt;&gt;""),SUMIF($F$13:$J$13,Q$13,$F22:$J22),"")</f>
        <v/>
      </c>
      <c r="R22" s="168" t="str">
        <f>IF(AND(LEN($D22)&gt;0,SUMIF($F$13:$J$13,R$13,$F22:$J22)&gt;0,ASISTENCIA!L21&lt;&gt;"X",ASISTENCIA!L21&lt;&gt;"L",ASISTENCIA!L21&lt;&gt;"J",ASISTENCIA!L21&lt;&gt;"V",ASISTENCIA!L21&lt;&gt;"F",ASISTENCIA!L21&lt;&gt;""),SUMIF($F$13:$J$13,R$13,$F22:$J22),"")</f>
        <v/>
      </c>
      <c r="S22" s="168" t="str">
        <f>IF(AND(LEN($D22)&gt;0,SUMIF($F$13:$J$13,S$13,$F22:$J22)&gt;0,ASISTENCIA!M21&lt;&gt;"X",ASISTENCIA!M21&lt;&gt;"L",ASISTENCIA!M21&lt;&gt;"J",ASISTENCIA!M21&lt;&gt;"V",ASISTENCIA!M21&lt;&gt;"F",ASISTENCIA!M21&lt;&gt;""),SUMIF($F$13:$J$13,S$13,$F22:$J22),"")</f>
        <v/>
      </c>
      <c r="T22" s="168" t="str">
        <f>IF(AND(LEN($D22)&gt;0,SUMIF($F$13:$J$13,T$13,$F22:$J22)&gt;0,ASISTENCIA!N21&lt;&gt;"X",ASISTENCIA!N21&lt;&gt;"L",ASISTENCIA!N21&lt;&gt;"J",ASISTENCIA!N21&lt;&gt;"V",ASISTENCIA!N21&lt;&gt;"F",ASISTENCIA!N21&lt;&gt;""),SUMIF($F$13:$J$13,T$13,$F22:$J22),"")</f>
        <v/>
      </c>
      <c r="U22" s="168" t="str">
        <f>IF(AND(LEN($D22)&gt;0,SUMIF($F$13:$J$13,U$13,$F22:$J22)&gt;0,ASISTENCIA!O21&lt;&gt;"X",ASISTENCIA!O21&lt;&gt;"L",ASISTENCIA!O21&lt;&gt;"J",ASISTENCIA!O21&lt;&gt;"V",ASISTENCIA!O21&lt;&gt;"F",ASISTENCIA!O21&lt;&gt;""),SUMIF($F$13:$J$13,U$13,$F22:$J22),"")</f>
        <v/>
      </c>
      <c r="V22" s="168" t="str">
        <f>IF(AND(LEN($D22)&gt;0,SUMIF($F$13:$J$13,V$13,$F22:$J22)&gt;0,ASISTENCIA!P21&lt;&gt;"X",ASISTENCIA!P21&lt;&gt;"L",ASISTENCIA!P21&lt;&gt;"J",ASISTENCIA!P21&lt;&gt;"V",ASISTENCIA!P21&lt;&gt;"F",ASISTENCIA!P21&lt;&gt;""),SUMIF($F$13:$J$13,V$13,$F22:$J22),"")</f>
        <v/>
      </c>
      <c r="W22" s="168" t="str">
        <f>IF(AND(LEN($D22)&gt;0,SUMIF($F$13:$J$13,W$13,$F22:$J22)&gt;0,ASISTENCIA!Q21&lt;&gt;"X",ASISTENCIA!Q21&lt;&gt;"L",ASISTENCIA!Q21&lt;&gt;"J",ASISTENCIA!Q21&lt;&gt;"V",ASISTENCIA!Q21&lt;&gt;"F",ASISTENCIA!Q21&lt;&gt;""),SUMIF($F$13:$J$13,W$13,$F22:$J22),"")</f>
        <v/>
      </c>
      <c r="X22" s="168" t="str">
        <f>IF(AND(LEN($D22)&gt;0,SUMIF($F$13:$J$13,X$13,$F22:$J22)&gt;0,ASISTENCIA!R21&lt;&gt;"X",ASISTENCIA!R21&lt;&gt;"L",ASISTENCIA!R21&lt;&gt;"J",ASISTENCIA!R21&lt;&gt;"V",ASISTENCIA!R21&lt;&gt;"F",ASISTENCIA!R21&lt;&gt;""),SUMIF($F$13:$J$13,X$13,$F22:$J22),"")</f>
        <v/>
      </c>
      <c r="Y22" s="168" t="str">
        <f>IF(AND(LEN($D22)&gt;0,SUMIF($F$13:$J$13,Y$13,$F22:$J22)&gt;0,ASISTENCIA!S21&lt;&gt;"X",ASISTENCIA!S21&lt;&gt;"L",ASISTENCIA!S21&lt;&gt;"J",ASISTENCIA!S21&lt;&gt;"V",ASISTENCIA!S21&lt;&gt;"F",ASISTENCIA!S21&lt;&gt;""),SUMIF($F$13:$J$13,Y$13,$F22:$J22),"")</f>
        <v/>
      </c>
      <c r="Z22" s="168" t="str">
        <f>IF(AND(LEN($D22)&gt;0,SUMIF($F$13:$J$13,Z$13,$F22:$J22)&gt;0,ASISTENCIA!T21&lt;&gt;"X",ASISTENCIA!T21&lt;&gt;"L",ASISTENCIA!T21&lt;&gt;"J",ASISTENCIA!T21&lt;&gt;"V",ASISTENCIA!T21&lt;&gt;"F",ASISTENCIA!T21&lt;&gt;""),SUMIF($F$13:$J$13,Z$13,$F22:$J22),"")</f>
        <v/>
      </c>
      <c r="AA22" s="168" t="str">
        <f>IF(AND(LEN($D22)&gt;0,SUMIF($F$13:$J$13,AA$13,$F22:$J22)&gt;0,ASISTENCIA!U21&lt;&gt;"X",ASISTENCIA!U21&lt;&gt;"L",ASISTENCIA!U21&lt;&gt;"J",ASISTENCIA!U21&lt;&gt;"V",ASISTENCIA!U21&lt;&gt;"F",ASISTENCIA!U21&lt;&gt;""),SUMIF($F$13:$J$13,AA$13,$F22:$J22),"")</f>
        <v/>
      </c>
      <c r="AB22" s="168" t="str">
        <f>IF(AND(LEN($D22)&gt;0,SUMIF($F$13:$J$13,AB$13,$F22:$J22)&gt;0,ASISTENCIA!V21&lt;&gt;"X",ASISTENCIA!V21&lt;&gt;"L",ASISTENCIA!V21&lt;&gt;"J",ASISTENCIA!V21&lt;&gt;"V",ASISTENCIA!V21&lt;&gt;"F",ASISTENCIA!V21&lt;&gt;""),SUMIF($F$13:$J$13,AB$13,$F22:$J22),"")</f>
        <v/>
      </c>
      <c r="AC22" s="168" t="str">
        <f>IF(AND(LEN($D22)&gt;0,SUMIF($F$13:$J$13,AC$13,$F22:$J22)&gt;0,ASISTENCIA!W21&lt;&gt;"X",ASISTENCIA!W21&lt;&gt;"L",ASISTENCIA!W21&lt;&gt;"J",ASISTENCIA!W21&lt;&gt;"V",ASISTENCIA!W21&lt;&gt;"F",ASISTENCIA!W21&lt;&gt;""),SUMIF($F$13:$J$13,AC$13,$F22:$J22),"")</f>
        <v/>
      </c>
      <c r="AD22" s="168" t="str">
        <f>IF(AND(LEN($D22)&gt;0,SUMIF($F$13:$J$13,AD$13,$F22:$J22)&gt;0,ASISTENCIA!X21&lt;&gt;"X",ASISTENCIA!X21&lt;&gt;"L",ASISTENCIA!X21&lt;&gt;"J",ASISTENCIA!X21&lt;&gt;"V",ASISTENCIA!X21&lt;&gt;"F",ASISTENCIA!X21&lt;&gt;""),SUMIF($F$13:$J$13,AD$13,$F22:$J22),"")</f>
        <v/>
      </c>
      <c r="AE22" s="168" t="str">
        <f>IF(AND(LEN($D22)&gt;0,SUMIF($F$13:$J$13,AE$13,$F22:$J22)&gt;0,ASISTENCIA!Y21&lt;&gt;"X",ASISTENCIA!Y21&lt;&gt;"L",ASISTENCIA!Y21&lt;&gt;"J",ASISTENCIA!Y21&lt;&gt;"V",ASISTENCIA!Y21&lt;&gt;"F",ASISTENCIA!Y21&lt;&gt;""),SUMIF($F$13:$J$13,AE$13,$F22:$J22),"")</f>
        <v/>
      </c>
      <c r="AF22" s="168" t="str">
        <f>IF(AND(LEN($D22)&gt;0,SUMIF($F$13:$J$13,AF$13,$F22:$J22)&gt;0,ASISTENCIA!Z21&lt;&gt;"X",ASISTENCIA!Z21&lt;&gt;"L",ASISTENCIA!Z21&lt;&gt;"J",ASISTENCIA!Z21&lt;&gt;"V",ASISTENCIA!Z21&lt;&gt;"F",ASISTENCIA!Z21&lt;&gt;""),SUMIF($F$13:$J$13,AF$13,$F22:$J22),"")</f>
        <v/>
      </c>
      <c r="AG22" s="168" t="str">
        <f>IF(AND(LEN($D22)&gt;0,SUMIF($F$13:$J$13,AG$13,$F22:$J22)&gt;0,ASISTENCIA!AA21&lt;&gt;"X",ASISTENCIA!AA21&lt;&gt;"L",ASISTENCIA!AA21&lt;&gt;"J",ASISTENCIA!AA21&lt;&gt;"V",ASISTENCIA!AA21&lt;&gt;"F",ASISTENCIA!AA21&lt;&gt;""),SUMIF($F$13:$J$13,AG$13,$F22:$J22),"")</f>
        <v/>
      </c>
      <c r="AH22" s="168" t="str">
        <f>IF(AND(LEN($D22)&gt;0,SUMIF($F$13:$J$13,AH$13,$F22:$J22)&gt;0,ASISTENCIA!AB21&lt;&gt;"X",ASISTENCIA!AB21&lt;&gt;"L",ASISTENCIA!AB21&lt;&gt;"J",ASISTENCIA!AB21&lt;&gt;"V",ASISTENCIA!AB21&lt;&gt;"F",ASISTENCIA!AB21&lt;&gt;""),SUMIF($F$13:$J$13,AH$13,$F22:$J22),"")</f>
        <v/>
      </c>
      <c r="AI22" s="168" t="str">
        <f>IF(AND(LEN($D22)&gt;0,SUMIF($F$13:$J$13,AI$13,$F22:$J22)&gt;0,ASISTENCIA!AC21&lt;&gt;"X",ASISTENCIA!AC21&lt;&gt;"L",ASISTENCIA!AC21&lt;&gt;"J",ASISTENCIA!AC21&lt;&gt;"V",ASISTENCIA!AC21&lt;&gt;"F",ASISTENCIA!AC21&lt;&gt;""),SUMIF($F$13:$J$13,AI$13,$F22:$J22),"")</f>
        <v/>
      </c>
      <c r="AJ22" s="168" t="str">
        <f>IF(AND(LEN($D22)&gt;0,SUMIF($F$13:$J$13,AJ$13,$F22:$J22)&gt;0,ASISTENCIA!AD21&lt;&gt;"X",ASISTENCIA!AD21&lt;&gt;"L",ASISTENCIA!AD21&lt;&gt;"J",ASISTENCIA!AD21&lt;&gt;"V",ASISTENCIA!AD21&lt;&gt;"F",ASISTENCIA!AD21&lt;&gt;""),SUMIF($F$13:$J$13,AJ$13,$F22:$J22),"")</f>
        <v/>
      </c>
      <c r="AK22" s="168" t="str">
        <f>IF(AND(LEN($D22)&gt;0,SUMIF($F$13:$J$13,AK$13,$F22:$J22)&gt;0,ASISTENCIA!AE21&lt;&gt;"X",ASISTENCIA!AE21&lt;&gt;"L",ASISTENCIA!AE21&lt;&gt;"J",ASISTENCIA!AE21&lt;&gt;"V",ASISTENCIA!AE21&lt;&gt;"F",ASISTENCIA!AE21&lt;&gt;""),SUMIF($F$13:$J$13,AK$13,$F22:$J22),"")</f>
        <v/>
      </c>
      <c r="AL22" s="168" t="str">
        <f>IF(AND(LEN($D22)&gt;0,SUMIF($F$13:$J$13,AL$13,$F22:$J22)&gt;0,ASISTENCIA!AF21&lt;&gt;"X",ASISTENCIA!AF21&lt;&gt;"L",ASISTENCIA!AF21&lt;&gt;"J",ASISTENCIA!AF21&lt;&gt;"V",ASISTENCIA!AF21&lt;&gt;"F",ASISTENCIA!AF21&lt;&gt;""),SUMIF($F$13:$J$13,AL$13,$F22:$J22),"")</f>
        <v/>
      </c>
      <c r="AM22" s="168" t="str">
        <f>IF(AND(LEN($D22)&gt;0,SUMIF($F$13:$J$13,AM$13,$F22:$J22)&gt;0,ASISTENCIA!AG21&lt;&gt;"X",ASISTENCIA!AG21&lt;&gt;"L",ASISTENCIA!AG21&lt;&gt;"J",ASISTENCIA!AG21&lt;&gt;"V",ASISTENCIA!AG21&lt;&gt;"F",ASISTENCIA!AG21&lt;&gt;""),SUMIF($F$13:$J$13,AM$13,$F22:$J22),"")</f>
        <v/>
      </c>
      <c r="AN22" s="168" t="str">
        <f>IF(AND(LEN($D22)&gt;0,SUMIF($F$13:$J$13,AN$13,$F22:$J22)&gt;0,ASISTENCIA!AH21&lt;&gt;"X",ASISTENCIA!AH21&lt;&gt;"L",ASISTENCIA!AH21&lt;&gt;"J",ASISTENCIA!AH21&lt;&gt;"V",ASISTENCIA!AH21&lt;&gt;"F",ASISTENCIA!AH21&lt;&gt;""),SUMIF($F$13:$J$13,AN$13,$F22:$J22),"")</f>
        <v/>
      </c>
      <c r="AO22" s="168" t="str">
        <f>IF(AND(LEN($D22)&gt;0,SUMIF($F$13:$J$13,AO$13,$F22:$J22)&gt;0,ASISTENCIA!AI21&lt;&gt;"X",ASISTENCIA!AI21&lt;&gt;"L",ASISTENCIA!AI21&lt;&gt;"J",ASISTENCIA!AI21&lt;&gt;"V",ASISTENCIA!AI21&lt;&gt;"F",ASISTENCIA!AI21&lt;&gt;""),SUMIF($F$13:$J$13,AO$13,$F22:$J22),"")</f>
        <v/>
      </c>
      <c r="AP22" s="168" t="str">
        <f>IF(AND(LEN($D22)&gt;0,SUMIF($F$13:$J$13,AP$13,$F22:$J22)&gt;0,ASISTENCIA!AJ21&lt;&gt;"X",ASISTENCIA!AJ21&lt;&gt;"L",ASISTENCIA!AJ21&lt;&gt;"J",ASISTENCIA!AJ21&lt;&gt;"V",ASISTENCIA!AJ21&lt;&gt;"F",ASISTENCIA!AJ21&lt;&gt;""),SUMIF($F$13:$J$13,AP$13,$F22:$J22),"")</f>
        <v/>
      </c>
      <c r="AQ22" s="168" t="str">
        <f>IF(AND(LEN($D22)&gt;0,SUMIF($F$13:$J$13,AQ$13,$F22:$J22)&gt;0,ASISTENCIA!AK21&lt;&gt;"X",ASISTENCIA!AK21&lt;&gt;"L",ASISTENCIA!AK21&lt;&gt;"J",ASISTENCIA!AK21&lt;&gt;"V",ASISTENCIA!AK21&lt;&gt;"F",ASISTENCIA!AK21&lt;&gt;""),SUMIF($F$13:$J$13,AQ$13,$F22:$J22),"")</f>
        <v/>
      </c>
      <c r="AR22" s="168" t="str">
        <f>IF(AND(LEN($D22)&gt;0,SUMIF($F$13:$J$13,AR$13,$F22:$J22)&gt;0,ASISTENCIA!AL21&lt;&gt;"X",ASISTENCIA!AL21&lt;&gt;"L",ASISTENCIA!AL21&lt;&gt;"J",ASISTENCIA!AL21&lt;&gt;"V",ASISTENCIA!AL21&lt;&gt;"F",ASISTENCIA!AL21&lt;&gt;""),SUMIF($F$13:$J$13,AR$13,$F22:$J22),"")</f>
        <v/>
      </c>
      <c r="AS22" s="168" t="str">
        <f>IF(AND(LEN($D22)&gt;0,SUMIF($F$13:$J$13,AS$13,$F22:$J22)&gt;0,ASISTENCIA!AM21&lt;&gt;"X",ASISTENCIA!AM21&lt;&gt;"L",ASISTENCIA!AM21&lt;&gt;"J",ASISTENCIA!AM21&lt;&gt;"V",ASISTENCIA!AM21&lt;&gt;"F",ASISTENCIA!AM21&lt;&gt;""),SUMIF($F$13:$J$13,AS$13,$F22:$J22),"")</f>
        <v/>
      </c>
      <c r="AT22" s="182" t="str">
        <f t="shared" si="4"/>
        <v/>
      </c>
      <c r="AU22" s="157"/>
      <c r="AV22" s="157"/>
      <c r="AW22" s="157"/>
      <c r="AX22" s="168" t="str">
        <f>IF(AND(LEN($D22)&gt;0,SUMIF($F$13:$J$13,AX$13,$F22:$J22)&gt;0,ASISTENCIA!AU21&lt;&gt;"X",ASISTENCIA!AU21&lt;&gt;"L",ASISTENCIA!AU21&lt;&gt;"J",ASISTENCIA!AU21&lt;&gt;"F"),SUMIF($F$13:$J$13,AX$13,$F22:$J22),"")</f>
        <v/>
      </c>
      <c r="AY22" s="168" t="str">
        <f>IF(AND(LEN($D22)&gt;0,SUMIF($F$13:$J$13,AY$13,$F22:$J22)&gt;0,ASISTENCIA!AV21&lt;&gt;"X",ASISTENCIA!AV21&lt;&gt;"L",ASISTENCIA!AV21&lt;&gt;"J",ASISTENCIA!AV21&lt;&gt;"F"),SUMIF($F$13:$J$13,AY$13,$F22:$J22),"")</f>
        <v/>
      </c>
      <c r="AZ22" s="168" t="str">
        <f>IF(AND(LEN($D22)&gt;0,SUMIF($F$13:$J$13,AZ$13,$F22:$J22)&gt;0,ASISTENCIA!AW21&lt;&gt;"X",ASISTENCIA!AW21&lt;&gt;"L",ASISTENCIA!AW21&lt;&gt;"J",ASISTENCIA!AW21&lt;&gt;"F"),SUMIF($F$13:$J$13,AZ$13,$F22:$J22),"")</f>
        <v/>
      </c>
      <c r="BA22" s="168" t="str">
        <f>IF(AND(LEN($D22)&gt;0,SUMIF($F$13:$J$13,BA$13,$F22:$J22)&gt;0,ASISTENCIA!AX21&lt;&gt;"X",ASISTENCIA!AX21&lt;&gt;"L",ASISTENCIA!AX21&lt;&gt;"J",ASISTENCIA!AX21&lt;&gt;"F"),SUMIF($F$13:$J$13,BA$13,$F22:$J22),"")</f>
        <v/>
      </c>
      <c r="BB22" s="168" t="str">
        <f>IF(AND(LEN($D22)&gt;0,SUMIF($F$13:$J$13,BB$13,$F22:$J22)&gt;0,ASISTENCIA!AY21&lt;&gt;"X",ASISTENCIA!AY21&lt;&gt;"L",ASISTENCIA!AY21&lt;&gt;"J",ASISTENCIA!AY21&lt;&gt;"F"),SUMIF($F$13:$J$13,BB$13,$F22:$J22),"")</f>
        <v/>
      </c>
      <c r="BC22" s="168" t="str">
        <f>IF(AND(LEN($D22)&gt;0,SUMIF($F$13:$J$13,BC$13,$F22:$J22)&gt;0,ASISTENCIA!AZ21&lt;&gt;"X",ASISTENCIA!AZ21&lt;&gt;"L",ASISTENCIA!AZ21&lt;&gt;"J",ASISTENCIA!AZ21&lt;&gt;"F"),SUMIF($F$13:$J$13,BC$13,$F22:$J22),"")</f>
        <v/>
      </c>
      <c r="BD22" s="168" t="str">
        <f>IF(AND(LEN($D22)&gt;0,SUMIF($F$13:$J$13,BD$13,$F22:$J22)&gt;0,ASISTENCIA!BA21&lt;&gt;"X",ASISTENCIA!BA21&lt;&gt;"L",ASISTENCIA!BA21&lt;&gt;"J",ASISTENCIA!BA21&lt;&gt;"F"),SUMIF($F$13:$J$13,BD$13,$F22:$J22),"")</f>
        <v/>
      </c>
      <c r="BE22" s="168" t="str">
        <f>IF(AND(LEN($D22)&gt;0,SUMIF($F$13:$J$13,BE$13,$F22:$J22)&gt;0,ASISTENCIA!BB21&lt;&gt;"X",ASISTENCIA!BB21&lt;&gt;"L",ASISTENCIA!BB21&lt;&gt;"J",ASISTENCIA!BB21&lt;&gt;"F"),SUMIF($F$13:$J$13,BE$13,$F22:$J22),"")</f>
        <v/>
      </c>
      <c r="BF22" s="168" t="str">
        <f>IF(AND(LEN($D22)&gt;0,SUMIF($F$13:$J$13,BF$13,$F22:$J22)&gt;0,ASISTENCIA!#REF!&lt;&gt;"X",ASISTENCIA!#REF!&lt;&gt;"L",ASISTENCIA!#REF!&lt;&gt;"J",ASISTENCIA!#REF!&lt;&gt;"F"),SUMIF($F$13:$J$13,BF$13,$F22:$J22),"")</f>
        <v>#ERROR!</v>
      </c>
      <c r="BG22" s="168" t="str">
        <f>IF(AND(LEN($D22)&gt;0,SUMIF($F$13:$J$13,BG$13,$F22:$J22)&gt;0,ASISTENCIA!#REF!&lt;&gt;"X",ASISTENCIA!#REF!&lt;&gt;"L",ASISTENCIA!#REF!&lt;&gt;"J",ASISTENCIA!#REF!&lt;&gt;"F"),SUMIF($F$13:$J$13,BG$13,$F22:$J22),"")</f>
        <v>#ERROR!</v>
      </c>
      <c r="BH22" s="168" t="str">
        <f>IF(AND(LEN($D22)&gt;0,SUMIF($F$13:$J$13,BH$13,$F22:$J22)&gt;0,ASISTENCIA!BE21&lt;&gt;"X",ASISTENCIA!BE21&lt;&gt;"L",ASISTENCIA!BE21&lt;&gt;"J",ASISTENCIA!BE21&lt;&gt;"F"),SUMIF($F$13:$J$13,BH$13,$F22:$J22),"")</f>
        <v/>
      </c>
      <c r="BI22" s="168" t="str">
        <f>IF(AND(LEN($D22)&gt;0,SUMIF($F$13:$J$13,BI$13,$F22:$J22)&gt;0,ASISTENCIA!BF21&lt;&gt;"X",ASISTENCIA!BF21&lt;&gt;"L",ASISTENCIA!BF21&lt;&gt;"J",ASISTENCIA!BF21&lt;&gt;"F"),SUMIF($F$13:$J$13,BI$13,$F22:$J22),"")</f>
        <v/>
      </c>
      <c r="BJ22" s="168" t="str">
        <f>IF(AND(LEN($D22)&gt;0,SUMIF($F$13:$J$13,BJ$13,$F22:$J22)&gt;0,ASISTENCIA!BG21&lt;&gt;"X",ASISTENCIA!BG21&lt;&gt;"L",ASISTENCIA!BG21&lt;&gt;"J",ASISTENCIA!BG21&lt;&gt;"F"),SUMIF($F$13:$J$13,BJ$13,$F22:$J22),"")</f>
        <v/>
      </c>
      <c r="BK22" s="168" t="str">
        <f>IF(AND(LEN($D22)&gt;0,SUMIF($F$13:$J$13,BK$13,$F22:$J22)&gt;0,ASISTENCIA!BH21&lt;&gt;"X",ASISTENCIA!BH21&lt;&gt;"L",ASISTENCIA!BH21&lt;&gt;"J",ASISTENCIA!BH21&lt;&gt;"F"),SUMIF($F$13:$J$13,BK$13,$F22:$J22),"")</f>
        <v/>
      </c>
      <c r="BL22" s="168" t="str">
        <f>IF(AND(LEN($D22)&gt;0,SUMIF($F$13:$J$13,BL$13,$F22:$J22)&gt;0,ASISTENCIA!BI21&lt;&gt;"X",ASISTENCIA!BI21&lt;&gt;"L",ASISTENCIA!BI21&lt;&gt;"J",ASISTENCIA!BI21&lt;&gt;"F"),SUMIF($F$13:$J$13,BL$13,$F22:$J22),"")</f>
        <v/>
      </c>
      <c r="BM22" s="168" t="str">
        <f>IF(AND(LEN($D22)&gt;0,SUMIF($F$13:$J$13,BM$13,$F22:$J22)&gt;0,ASISTENCIA!BJ21&lt;&gt;"X",ASISTENCIA!BJ21&lt;&gt;"L",ASISTENCIA!BJ21&lt;&gt;"J",ASISTENCIA!BJ21&lt;&gt;"F"),SUMIF($F$13:$J$13,BM$13,$F22:$J22),"")</f>
        <v/>
      </c>
      <c r="BN22" s="168" t="str">
        <f>IF(AND(LEN($D22)&gt;0,SUMIF($F$13:$J$13,BN$13,$F22:$J22)&gt;0,ASISTENCIA!BK21&lt;&gt;"X",ASISTENCIA!BK21&lt;&gt;"L",ASISTENCIA!BK21&lt;&gt;"J",ASISTENCIA!BK21&lt;&gt;"F"),SUMIF($F$13:$J$13,BN$13,$F22:$J22),"")</f>
        <v/>
      </c>
      <c r="BO22" s="168" t="str">
        <f>IF(AND(LEN($D22)&gt;0,SUMIF($F$13:$J$13,BO$13,$F22:$J22)&gt;0,ASISTENCIA!BL21&lt;&gt;"X",ASISTENCIA!BL21&lt;&gt;"L",ASISTENCIA!BL21&lt;&gt;"J",ASISTENCIA!BL21&lt;&gt;"F"),SUMIF($F$13:$J$13,BO$13,$F22:$J22),"")</f>
        <v/>
      </c>
      <c r="BP22" s="168" t="str">
        <f>IF(AND(LEN($D22)&gt;0,SUMIF($F$13:$J$13,BP$13,$F22:$J22)&gt;0,ASISTENCIA!BM21&lt;&gt;"X",ASISTENCIA!BM21&lt;&gt;"L",ASISTENCIA!BM21&lt;&gt;"J",ASISTENCIA!BM21&lt;&gt;"F"),SUMIF($F$13:$J$13,BP$13,$F22:$J22),"")</f>
        <v/>
      </c>
      <c r="BQ22" s="168" t="str">
        <f>IF(AND(LEN($D22)&gt;0,SUMIF($F$13:$J$13,BQ$13,$F22:$J22)&gt;0,ASISTENCIA!BN21&lt;&gt;"X",ASISTENCIA!BN21&lt;&gt;"L",ASISTENCIA!BN21&lt;&gt;"J",ASISTENCIA!BN21&lt;&gt;"F"),SUMIF($F$13:$J$13,BQ$13,$F22:$J22),"")</f>
        <v/>
      </c>
      <c r="BR22" s="168" t="str">
        <f>IF(AND(LEN($D22)&gt;0,SUMIF($F$13:$J$13,BR$13,$F22:$J22)&gt;0,ASISTENCIA!BO21&lt;&gt;"X",ASISTENCIA!BO21&lt;&gt;"L",ASISTENCIA!BO21&lt;&gt;"J",ASISTENCIA!BO21&lt;&gt;"F"),SUMIF($F$13:$J$13,BR$13,$F22:$J22),"")</f>
        <v/>
      </c>
      <c r="BS22" s="168" t="str">
        <f>IF(AND(LEN($D22)&gt;0,SUMIF($F$13:$J$13,BS$13,$F22:$J22)&gt;0,ASISTENCIA!BP21&lt;&gt;"X",ASISTENCIA!BP21&lt;&gt;"L",ASISTENCIA!BP21&lt;&gt;"J",ASISTENCIA!BP21&lt;&gt;"F"),SUMIF($F$13:$J$13,BS$13,$F22:$J22),"")</f>
        <v/>
      </c>
      <c r="BT22" s="168" t="str">
        <f>IF(AND(LEN($D22)&gt;0,SUMIF($F$13:$J$13,BT$13,$F22:$J22)&gt;0,ASISTENCIA!BQ21&lt;&gt;"X",ASISTENCIA!BQ21&lt;&gt;"L",ASISTENCIA!BQ21&lt;&gt;"J",ASISTENCIA!BQ21&lt;&gt;"F"),SUMIF($F$13:$J$13,BT$13,$F22:$J22),"")</f>
        <v/>
      </c>
      <c r="BU22" s="168" t="str">
        <f>IF(AND(LEN($D22)&gt;0,SUMIF($F$13:$J$13,BU$13,$F22:$J22)&gt;0,ASISTENCIA!BR21&lt;&gt;"X",ASISTENCIA!BR21&lt;&gt;"L",ASISTENCIA!BR21&lt;&gt;"J",ASISTENCIA!BR21&lt;&gt;"F"),SUMIF($F$13:$J$13,BU$13,$F22:$J22),"")</f>
        <v/>
      </c>
      <c r="BV22" s="168" t="str">
        <f>IF(AND(LEN($D22)&gt;0,SUMIF($F$13:$J$13,BV$13,$F22:$J22)&gt;0,ASISTENCIA!BS21&lt;&gt;"X",ASISTENCIA!BS21&lt;&gt;"L",ASISTENCIA!BS21&lt;&gt;"J",ASISTENCIA!BS21&lt;&gt;"F"),SUMIF($F$13:$J$13,BV$13,$F22:$J22),"")</f>
        <v/>
      </c>
      <c r="BW22" s="168" t="str">
        <f>IF(AND(LEN($D22)&gt;0,SUMIF($F$13:$J$13,BW$13,$F22:$J22)&gt;0,ASISTENCIA!BT21&lt;&gt;"X",ASISTENCIA!BT21&lt;&gt;"L",ASISTENCIA!BT21&lt;&gt;"J",ASISTENCIA!BT21&lt;&gt;"F"),SUMIF($F$13:$J$13,BW$13,$F22:$J22),"")</f>
        <v/>
      </c>
      <c r="BX22" s="168" t="str">
        <f>IF(AND(LEN($D22)&gt;0,SUMIF($F$13:$J$13,BX$13,$F22:$J22)&gt;0,ASISTENCIA!BU21&lt;&gt;"X",ASISTENCIA!BU21&lt;&gt;"L",ASISTENCIA!BU21&lt;&gt;"J",ASISTENCIA!BU21&lt;&gt;"F"),SUMIF($F$13:$J$13,BX$13,$F22:$J22),"")</f>
        <v/>
      </c>
      <c r="BY22" s="168" t="str">
        <f>IF(AND(LEN($D22)&gt;0,SUMIF($F$13:$J$13,BY$13,$F22:$J22)&gt;0,ASISTENCIA!BV21&lt;&gt;"X",ASISTENCIA!BV21&lt;&gt;"L",ASISTENCIA!BV21&lt;&gt;"J",ASISTENCIA!BV21&lt;&gt;"F"),SUMIF($F$13:$J$13,BY$13,$F22:$J22),"")</f>
        <v/>
      </c>
      <c r="BZ22" s="168" t="str">
        <f>IF(AND(LEN($D22)&gt;0,SUMIF($F$13:$J$13,BZ$13,$F22:$J22)&gt;0,ASISTENCIA!BW21&lt;&gt;"X",ASISTENCIA!BW21&lt;&gt;"L",ASISTENCIA!BW21&lt;&gt;"J",ASISTENCIA!BW21&lt;&gt;"F"),SUMIF($F$13:$J$13,BZ$13,$F22:$J22),"")</f>
        <v/>
      </c>
      <c r="CA22" s="168" t="str">
        <f>IF(AND(LEN($D22)&gt;0,SUMIF($F$13:$J$13,CA$13,$F22:$J22)&gt;0,ASISTENCIA!BX21&lt;&gt;"X",ASISTENCIA!BX21&lt;&gt;"L",ASISTENCIA!BX21&lt;&gt;"J",ASISTENCIA!BX21&lt;&gt;"F"),SUMIF($F$13:$J$13,CA$13,$F22:$J22),"")</f>
        <v/>
      </c>
      <c r="CB22" s="168" t="str">
        <f>IF(AND(LEN($D22)&gt;0,SUMIF($F$13:$J$13,CB$13,$F22:$J22)&gt;0,ASISTENCIA!BY21&lt;&gt;"X",ASISTENCIA!BY21&lt;&gt;"L",ASISTENCIA!BY21&lt;&gt;"J",ASISTENCIA!BY21&lt;&gt;"F"),SUMIF($F$13:$J$13,CB$13,$F22:$J22),"")</f>
        <v/>
      </c>
      <c r="CC22" s="182" t="str">
        <f t="shared" si="5"/>
        <v>#ERROR!</v>
      </c>
      <c r="CD22" s="157"/>
    </row>
    <row r="23" ht="12.75" customHeight="1">
      <c r="A23" s="132" t="str">
        <f t="shared" si="6"/>
        <v/>
      </c>
      <c r="B23" s="183" t="str">
        <f>IF(LEN(C23)&gt;0,VLOOKUP($O$4,DATA!$A$1:$S$1,2,FALSE),"")</f>
        <v/>
      </c>
      <c r="C23" s="184" t="str">
        <f t="shared" si="1"/>
        <v/>
      </c>
      <c r="D23" s="136" t="str">
        <f>IF(LEN(ASISTENCIA!E22)&gt;0,ASISTENCIA!E22,"")</f>
        <v/>
      </c>
      <c r="E23" s="167" t="str">
        <f>IF(LEN(D23)&gt;0,ASISTENCIA!F22,"")</f>
        <v/>
      </c>
      <c r="F23" s="180"/>
      <c r="G23" s="180"/>
      <c r="H23" s="180"/>
      <c r="I23" s="180"/>
      <c r="J23" s="180"/>
      <c r="K23" s="168" t="str">
        <f t="shared" si="2"/>
        <v/>
      </c>
      <c r="L23" s="185"/>
      <c r="M23" s="168"/>
      <c r="N23" s="168" t="str">
        <f t="shared" si="3"/>
        <v>#ERROR!</v>
      </c>
      <c r="O23" s="168" t="str">
        <f>IF(AND(LEN($D23)&gt;0,SUMIF($F$13:$J$13,O$13,$F23:$J23)&gt;0,ASISTENCIA!I22&lt;&gt;"X",ASISTENCIA!I22&lt;&gt;"L",ASISTENCIA!I22&lt;&gt;"J",ASISTENCIA!I22&lt;&gt;"V",ASISTENCIA!I22&lt;&gt;"F",ASISTENCIA!I22&lt;&gt;""),SUMIF($F$13:$J$13,O$13,$F23:$J23),"")</f>
        <v/>
      </c>
      <c r="P23" s="168" t="str">
        <f>IF(AND(LEN($D23)&gt;0,SUMIF($F$13:$J$13,P$13,$F23:$J23)&gt;0,ASISTENCIA!J22&lt;&gt;"X",ASISTENCIA!J22&lt;&gt;"L",ASISTENCIA!J22&lt;&gt;"J",ASISTENCIA!J22&lt;&gt;"V",ASISTENCIA!J22&lt;&gt;"F",ASISTENCIA!J22&lt;&gt;""),SUMIF($F$13:$J$13,P$13,$F23:$J23),"")</f>
        <v/>
      </c>
      <c r="Q23" s="168" t="str">
        <f>IF(AND(LEN($D23)&gt;0,SUMIF($F$13:$J$13,Q$13,$F23:$J23)&gt;0,ASISTENCIA!K22&lt;&gt;"X",ASISTENCIA!K22&lt;&gt;"L",ASISTENCIA!K22&lt;&gt;"J",ASISTENCIA!K22&lt;&gt;"V",ASISTENCIA!K22&lt;&gt;"F",ASISTENCIA!K22&lt;&gt;""),SUMIF($F$13:$J$13,Q$13,$F23:$J23),"")</f>
        <v/>
      </c>
      <c r="R23" s="168" t="str">
        <f>IF(AND(LEN($D23)&gt;0,SUMIF($F$13:$J$13,R$13,$F23:$J23)&gt;0,ASISTENCIA!L22&lt;&gt;"X",ASISTENCIA!L22&lt;&gt;"L",ASISTENCIA!L22&lt;&gt;"J",ASISTENCIA!L22&lt;&gt;"V",ASISTENCIA!L22&lt;&gt;"F",ASISTENCIA!L22&lt;&gt;""),SUMIF($F$13:$J$13,R$13,$F23:$J23),"")</f>
        <v/>
      </c>
      <c r="S23" s="168" t="str">
        <f>IF(AND(LEN($D23)&gt;0,SUMIF($F$13:$J$13,S$13,$F23:$J23)&gt;0,ASISTENCIA!M22&lt;&gt;"X",ASISTENCIA!M22&lt;&gt;"L",ASISTENCIA!M22&lt;&gt;"J",ASISTENCIA!M22&lt;&gt;"V",ASISTENCIA!M22&lt;&gt;"F",ASISTENCIA!M22&lt;&gt;""),SUMIF($F$13:$J$13,S$13,$F23:$J23),"")</f>
        <v/>
      </c>
      <c r="T23" s="168" t="str">
        <f>IF(AND(LEN($D23)&gt;0,SUMIF($F$13:$J$13,T$13,$F23:$J23)&gt;0,ASISTENCIA!N22&lt;&gt;"X",ASISTENCIA!N22&lt;&gt;"L",ASISTENCIA!N22&lt;&gt;"J",ASISTENCIA!N22&lt;&gt;"V",ASISTENCIA!N22&lt;&gt;"F",ASISTENCIA!N22&lt;&gt;""),SUMIF($F$13:$J$13,T$13,$F23:$J23),"")</f>
        <v/>
      </c>
      <c r="U23" s="168" t="str">
        <f>IF(AND(LEN($D23)&gt;0,SUMIF($F$13:$J$13,U$13,$F23:$J23)&gt;0,ASISTENCIA!O22&lt;&gt;"X",ASISTENCIA!O22&lt;&gt;"L",ASISTENCIA!O22&lt;&gt;"J",ASISTENCIA!O22&lt;&gt;"V",ASISTENCIA!O22&lt;&gt;"F",ASISTENCIA!O22&lt;&gt;""),SUMIF($F$13:$J$13,U$13,$F23:$J23),"")</f>
        <v/>
      </c>
      <c r="V23" s="168" t="str">
        <f>IF(AND(LEN($D23)&gt;0,SUMIF($F$13:$J$13,V$13,$F23:$J23)&gt;0,ASISTENCIA!P22&lt;&gt;"X",ASISTENCIA!P22&lt;&gt;"L",ASISTENCIA!P22&lt;&gt;"J",ASISTENCIA!P22&lt;&gt;"V",ASISTENCIA!P22&lt;&gt;"F",ASISTENCIA!P22&lt;&gt;""),SUMIF($F$13:$J$13,V$13,$F23:$J23),"")</f>
        <v/>
      </c>
      <c r="W23" s="168" t="str">
        <f>IF(AND(LEN($D23)&gt;0,SUMIF($F$13:$J$13,W$13,$F23:$J23)&gt;0,ASISTENCIA!Q22&lt;&gt;"X",ASISTENCIA!Q22&lt;&gt;"L",ASISTENCIA!Q22&lt;&gt;"J",ASISTENCIA!Q22&lt;&gt;"V",ASISTENCIA!Q22&lt;&gt;"F",ASISTENCIA!Q22&lt;&gt;""),SUMIF($F$13:$J$13,W$13,$F23:$J23),"")</f>
        <v/>
      </c>
      <c r="X23" s="168" t="str">
        <f>IF(AND(LEN($D23)&gt;0,SUMIF($F$13:$J$13,X$13,$F23:$J23)&gt;0,ASISTENCIA!R22&lt;&gt;"X",ASISTENCIA!R22&lt;&gt;"L",ASISTENCIA!R22&lt;&gt;"J",ASISTENCIA!R22&lt;&gt;"V",ASISTENCIA!R22&lt;&gt;"F",ASISTENCIA!R22&lt;&gt;""),SUMIF($F$13:$J$13,X$13,$F23:$J23),"")</f>
        <v/>
      </c>
      <c r="Y23" s="168" t="str">
        <f>IF(AND(LEN($D23)&gt;0,SUMIF($F$13:$J$13,Y$13,$F23:$J23)&gt;0,ASISTENCIA!S22&lt;&gt;"X",ASISTENCIA!S22&lt;&gt;"L",ASISTENCIA!S22&lt;&gt;"J",ASISTENCIA!S22&lt;&gt;"V",ASISTENCIA!S22&lt;&gt;"F",ASISTENCIA!S22&lt;&gt;""),SUMIF($F$13:$J$13,Y$13,$F23:$J23),"")</f>
        <v/>
      </c>
      <c r="Z23" s="168" t="str">
        <f>IF(AND(LEN($D23)&gt;0,SUMIF($F$13:$J$13,Z$13,$F23:$J23)&gt;0,ASISTENCIA!T22&lt;&gt;"X",ASISTENCIA!T22&lt;&gt;"L",ASISTENCIA!T22&lt;&gt;"J",ASISTENCIA!T22&lt;&gt;"V",ASISTENCIA!T22&lt;&gt;"F",ASISTENCIA!T22&lt;&gt;""),SUMIF($F$13:$J$13,Z$13,$F23:$J23),"")</f>
        <v/>
      </c>
      <c r="AA23" s="168" t="str">
        <f>IF(AND(LEN($D23)&gt;0,SUMIF($F$13:$J$13,AA$13,$F23:$J23)&gt;0,ASISTENCIA!U22&lt;&gt;"X",ASISTENCIA!U22&lt;&gt;"L",ASISTENCIA!U22&lt;&gt;"J",ASISTENCIA!U22&lt;&gt;"V",ASISTENCIA!U22&lt;&gt;"F",ASISTENCIA!U22&lt;&gt;""),SUMIF($F$13:$J$13,AA$13,$F23:$J23),"")</f>
        <v/>
      </c>
      <c r="AB23" s="168" t="str">
        <f>IF(AND(LEN($D23)&gt;0,SUMIF($F$13:$J$13,AB$13,$F23:$J23)&gt;0,ASISTENCIA!V22&lt;&gt;"X",ASISTENCIA!V22&lt;&gt;"L",ASISTENCIA!V22&lt;&gt;"J",ASISTENCIA!V22&lt;&gt;"V",ASISTENCIA!V22&lt;&gt;"F",ASISTENCIA!V22&lt;&gt;""),SUMIF($F$13:$J$13,AB$13,$F23:$J23),"")</f>
        <v/>
      </c>
      <c r="AC23" s="168" t="str">
        <f>IF(AND(LEN($D23)&gt;0,SUMIF($F$13:$J$13,AC$13,$F23:$J23)&gt;0,ASISTENCIA!W22&lt;&gt;"X",ASISTENCIA!W22&lt;&gt;"L",ASISTENCIA!W22&lt;&gt;"J",ASISTENCIA!W22&lt;&gt;"V",ASISTENCIA!W22&lt;&gt;"F",ASISTENCIA!W22&lt;&gt;""),SUMIF($F$13:$J$13,AC$13,$F23:$J23),"")</f>
        <v/>
      </c>
      <c r="AD23" s="168" t="str">
        <f>IF(AND(LEN($D23)&gt;0,SUMIF($F$13:$J$13,AD$13,$F23:$J23)&gt;0,ASISTENCIA!X22&lt;&gt;"X",ASISTENCIA!X22&lt;&gt;"L",ASISTENCIA!X22&lt;&gt;"J",ASISTENCIA!X22&lt;&gt;"V",ASISTENCIA!X22&lt;&gt;"F",ASISTENCIA!X22&lt;&gt;""),SUMIF($F$13:$J$13,AD$13,$F23:$J23),"")</f>
        <v/>
      </c>
      <c r="AE23" s="168" t="str">
        <f>IF(AND(LEN($D23)&gt;0,SUMIF($F$13:$J$13,AE$13,$F23:$J23)&gt;0,ASISTENCIA!Y22&lt;&gt;"X",ASISTENCIA!Y22&lt;&gt;"L",ASISTENCIA!Y22&lt;&gt;"J",ASISTENCIA!Y22&lt;&gt;"V",ASISTENCIA!Y22&lt;&gt;"F",ASISTENCIA!Y22&lt;&gt;""),SUMIF($F$13:$J$13,AE$13,$F23:$J23),"")</f>
        <v/>
      </c>
      <c r="AF23" s="168" t="str">
        <f>IF(AND(LEN($D23)&gt;0,SUMIF($F$13:$J$13,AF$13,$F23:$J23)&gt;0,ASISTENCIA!Z22&lt;&gt;"X",ASISTENCIA!Z22&lt;&gt;"L",ASISTENCIA!Z22&lt;&gt;"J",ASISTENCIA!Z22&lt;&gt;"V",ASISTENCIA!Z22&lt;&gt;"F",ASISTENCIA!Z22&lt;&gt;""),SUMIF($F$13:$J$13,AF$13,$F23:$J23),"")</f>
        <v/>
      </c>
      <c r="AG23" s="168" t="str">
        <f>IF(AND(LEN($D23)&gt;0,SUMIF($F$13:$J$13,AG$13,$F23:$J23)&gt;0,ASISTENCIA!AA22&lt;&gt;"X",ASISTENCIA!AA22&lt;&gt;"L",ASISTENCIA!AA22&lt;&gt;"J",ASISTENCIA!AA22&lt;&gt;"V",ASISTENCIA!AA22&lt;&gt;"F",ASISTENCIA!AA22&lt;&gt;""),SUMIF($F$13:$J$13,AG$13,$F23:$J23),"")</f>
        <v/>
      </c>
      <c r="AH23" s="168" t="str">
        <f>IF(AND(LEN($D23)&gt;0,SUMIF($F$13:$J$13,AH$13,$F23:$J23)&gt;0,ASISTENCIA!AB22&lt;&gt;"X",ASISTENCIA!AB22&lt;&gt;"L",ASISTENCIA!AB22&lt;&gt;"J",ASISTENCIA!AB22&lt;&gt;"V",ASISTENCIA!AB22&lt;&gt;"F",ASISTENCIA!AB22&lt;&gt;""),SUMIF($F$13:$J$13,AH$13,$F23:$J23),"")</f>
        <v/>
      </c>
      <c r="AI23" s="168" t="str">
        <f>IF(AND(LEN($D23)&gt;0,SUMIF($F$13:$J$13,AI$13,$F23:$J23)&gt;0,ASISTENCIA!AC22&lt;&gt;"X",ASISTENCIA!AC22&lt;&gt;"L",ASISTENCIA!AC22&lt;&gt;"J",ASISTENCIA!AC22&lt;&gt;"V",ASISTENCIA!AC22&lt;&gt;"F",ASISTENCIA!AC22&lt;&gt;""),SUMIF($F$13:$J$13,AI$13,$F23:$J23),"")</f>
        <v/>
      </c>
      <c r="AJ23" s="168" t="str">
        <f>IF(AND(LEN($D23)&gt;0,SUMIF($F$13:$J$13,AJ$13,$F23:$J23)&gt;0,ASISTENCIA!AD22&lt;&gt;"X",ASISTENCIA!AD22&lt;&gt;"L",ASISTENCIA!AD22&lt;&gt;"J",ASISTENCIA!AD22&lt;&gt;"V",ASISTENCIA!AD22&lt;&gt;"F",ASISTENCIA!AD22&lt;&gt;""),SUMIF($F$13:$J$13,AJ$13,$F23:$J23),"")</f>
        <v/>
      </c>
      <c r="AK23" s="168" t="str">
        <f>IF(AND(LEN($D23)&gt;0,SUMIF($F$13:$J$13,AK$13,$F23:$J23)&gt;0,ASISTENCIA!AE22&lt;&gt;"X",ASISTENCIA!AE22&lt;&gt;"L",ASISTENCIA!AE22&lt;&gt;"J",ASISTENCIA!AE22&lt;&gt;"V",ASISTENCIA!AE22&lt;&gt;"F",ASISTENCIA!AE22&lt;&gt;""),SUMIF($F$13:$J$13,AK$13,$F23:$J23),"")</f>
        <v/>
      </c>
      <c r="AL23" s="168" t="str">
        <f>IF(AND(LEN($D23)&gt;0,SUMIF($F$13:$J$13,AL$13,$F23:$J23)&gt;0,ASISTENCIA!AF22&lt;&gt;"X",ASISTENCIA!AF22&lt;&gt;"L",ASISTENCIA!AF22&lt;&gt;"J",ASISTENCIA!AF22&lt;&gt;"V",ASISTENCIA!AF22&lt;&gt;"F",ASISTENCIA!AF22&lt;&gt;""),SUMIF($F$13:$J$13,AL$13,$F23:$J23),"")</f>
        <v/>
      </c>
      <c r="AM23" s="168" t="str">
        <f>IF(AND(LEN($D23)&gt;0,SUMIF($F$13:$J$13,AM$13,$F23:$J23)&gt;0,ASISTENCIA!AG22&lt;&gt;"X",ASISTENCIA!AG22&lt;&gt;"L",ASISTENCIA!AG22&lt;&gt;"J",ASISTENCIA!AG22&lt;&gt;"V",ASISTENCIA!AG22&lt;&gt;"F",ASISTENCIA!AG22&lt;&gt;""),SUMIF($F$13:$J$13,AM$13,$F23:$J23),"")</f>
        <v/>
      </c>
      <c r="AN23" s="168" t="str">
        <f>IF(AND(LEN($D23)&gt;0,SUMIF($F$13:$J$13,AN$13,$F23:$J23)&gt;0,ASISTENCIA!AH22&lt;&gt;"X",ASISTENCIA!AH22&lt;&gt;"L",ASISTENCIA!AH22&lt;&gt;"J",ASISTENCIA!AH22&lt;&gt;"V",ASISTENCIA!AH22&lt;&gt;"F",ASISTENCIA!AH22&lt;&gt;""),SUMIF($F$13:$J$13,AN$13,$F23:$J23),"")</f>
        <v/>
      </c>
      <c r="AO23" s="168" t="str">
        <f>IF(AND(LEN($D23)&gt;0,SUMIF($F$13:$J$13,AO$13,$F23:$J23)&gt;0,ASISTENCIA!AI22&lt;&gt;"X",ASISTENCIA!AI22&lt;&gt;"L",ASISTENCIA!AI22&lt;&gt;"J",ASISTENCIA!AI22&lt;&gt;"V",ASISTENCIA!AI22&lt;&gt;"F",ASISTENCIA!AI22&lt;&gt;""),SUMIF($F$13:$J$13,AO$13,$F23:$J23),"")</f>
        <v/>
      </c>
      <c r="AP23" s="168" t="str">
        <f>IF(AND(LEN($D23)&gt;0,SUMIF($F$13:$J$13,AP$13,$F23:$J23)&gt;0,ASISTENCIA!AJ22&lt;&gt;"X",ASISTENCIA!AJ22&lt;&gt;"L",ASISTENCIA!AJ22&lt;&gt;"J",ASISTENCIA!AJ22&lt;&gt;"V",ASISTENCIA!AJ22&lt;&gt;"F",ASISTENCIA!AJ22&lt;&gt;""),SUMIF($F$13:$J$13,AP$13,$F23:$J23),"")</f>
        <v/>
      </c>
      <c r="AQ23" s="168" t="str">
        <f>IF(AND(LEN($D23)&gt;0,SUMIF($F$13:$J$13,AQ$13,$F23:$J23)&gt;0,ASISTENCIA!AK22&lt;&gt;"X",ASISTENCIA!AK22&lt;&gt;"L",ASISTENCIA!AK22&lt;&gt;"J",ASISTENCIA!AK22&lt;&gt;"V",ASISTENCIA!AK22&lt;&gt;"F",ASISTENCIA!AK22&lt;&gt;""),SUMIF($F$13:$J$13,AQ$13,$F23:$J23),"")</f>
        <v/>
      </c>
      <c r="AR23" s="168" t="str">
        <f>IF(AND(LEN($D23)&gt;0,SUMIF($F$13:$J$13,AR$13,$F23:$J23)&gt;0,ASISTENCIA!AL22&lt;&gt;"X",ASISTENCIA!AL22&lt;&gt;"L",ASISTENCIA!AL22&lt;&gt;"J",ASISTENCIA!AL22&lt;&gt;"V",ASISTENCIA!AL22&lt;&gt;"F",ASISTENCIA!AL22&lt;&gt;""),SUMIF($F$13:$J$13,AR$13,$F23:$J23),"")</f>
        <v/>
      </c>
      <c r="AS23" s="168" t="str">
        <f>IF(AND(LEN($D23)&gt;0,SUMIF($F$13:$J$13,AS$13,$F23:$J23)&gt;0,ASISTENCIA!AM22&lt;&gt;"X",ASISTENCIA!AM22&lt;&gt;"L",ASISTENCIA!AM22&lt;&gt;"J",ASISTENCIA!AM22&lt;&gt;"V",ASISTENCIA!AM22&lt;&gt;"F",ASISTENCIA!AM22&lt;&gt;""),SUMIF($F$13:$J$13,AS$13,$F23:$J23),"")</f>
        <v/>
      </c>
      <c r="AT23" s="182" t="str">
        <f t="shared" si="4"/>
        <v/>
      </c>
      <c r="AU23" s="157"/>
      <c r="AV23" s="157"/>
      <c r="AW23" s="157"/>
      <c r="AX23" s="168" t="str">
        <f>IF(AND(LEN($D23)&gt;0,SUMIF($F$13:$J$13,AX$13,$F23:$J23)&gt;0,ASISTENCIA!AU22&lt;&gt;"X",ASISTENCIA!AU22&lt;&gt;"L",ASISTENCIA!AU22&lt;&gt;"J",ASISTENCIA!AU22&lt;&gt;"F"),SUMIF($F$13:$J$13,AX$13,$F23:$J23),"")</f>
        <v/>
      </c>
      <c r="AY23" s="168" t="str">
        <f>IF(AND(LEN($D23)&gt;0,SUMIF($F$13:$J$13,AY$13,$F23:$J23)&gt;0,ASISTENCIA!AV22&lt;&gt;"X",ASISTENCIA!AV22&lt;&gt;"L",ASISTENCIA!AV22&lt;&gt;"J",ASISTENCIA!AV22&lt;&gt;"F"),SUMIF($F$13:$J$13,AY$13,$F23:$J23),"")</f>
        <v/>
      </c>
      <c r="AZ23" s="168" t="str">
        <f>IF(AND(LEN($D23)&gt;0,SUMIF($F$13:$J$13,AZ$13,$F23:$J23)&gt;0,ASISTENCIA!AW22&lt;&gt;"X",ASISTENCIA!AW22&lt;&gt;"L",ASISTENCIA!AW22&lt;&gt;"J",ASISTENCIA!AW22&lt;&gt;"F"),SUMIF($F$13:$J$13,AZ$13,$F23:$J23),"")</f>
        <v/>
      </c>
      <c r="BA23" s="168" t="str">
        <f>IF(AND(LEN($D23)&gt;0,SUMIF($F$13:$J$13,BA$13,$F23:$J23)&gt;0,ASISTENCIA!AX22&lt;&gt;"X",ASISTENCIA!AX22&lt;&gt;"L",ASISTENCIA!AX22&lt;&gt;"J",ASISTENCIA!AX22&lt;&gt;"F"),SUMIF($F$13:$J$13,BA$13,$F23:$J23),"")</f>
        <v/>
      </c>
      <c r="BB23" s="168" t="str">
        <f>IF(AND(LEN($D23)&gt;0,SUMIF($F$13:$J$13,BB$13,$F23:$J23)&gt;0,ASISTENCIA!AY22&lt;&gt;"X",ASISTENCIA!AY22&lt;&gt;"L",ASISTENCIA!AY22&lt;&gt;"J",ASISTENCIA!AY22&lt;&gt;"F"),SUMIF($F$13:$J$13,BB$13,$F23:$J23),"")</f>
        <v/>
      </c>
      <c r="BC23" s="168" t="str">
        <f>IF(AND(LEN($D23)&gt;0,SUMIF($F$13:$J$13,BC$13,$F23:$J23)&gt;0,ASISTENCIA!AZ22&lt;&gt;"X",ASISTENCIA!AZ22&lt;&gt;"L",ASISTENCIA!AZ22&lt;&gt;"J",ASISTENCIA!AZ22&lt;&gt;"F"),SUMIF($F$13:$J$13,BC$13,$F23:$J23),"")</f>
        <v/>
      </c>
      <c r="BD23" s="168" t="str">
        <f>IF(AND(LEN($D23)&gt;0,SUMIF($F$13:$J$13,BD$13,$F23:$J23)&gt;0,ASISTENCIA!BA22&lt;&gt;"X",ASISTENCIA!BA22&lt;&gt;"L",ASISTENCIA!BA22&lt;&gt;"J",ASISTENCIA!BA22&lt;&gt;"F"),SUMIF($F$13:$J$13,BD$13,$F23:$J23),"")</f>
        <v/>
      </c>
      <c r="BE23" s="168" t="str">
        <f>IF(AND(LEN($D23)&gt;0,SUMIF($F$13:$J$13,BE$13,$F23:$J23)&gt;0,ASISTENCIA!BB22&lt;&gt;"X",ASISTENCIA!BB22&lt;&gt;"L",ASISTENCIA!BB22&lt;&gt;"J",ASISTENCIA!BB22&lt;&gt;"F"),SUMIF($F$13:$J$13,BE$13,$F23:$J23),"")</f>
        <v/>
      </c>
      <c r="BF23" s="168" t="str">
        <f>IF(AND(LEN($D23)&gt;0,SUMIF($F$13:$J$13,BF$13,$F23:$J23)&gt;0,ASISTENCIA!#REF!&lt;&gt;"X",ASISTENCIA!#REF!&lt;&gt;"L",ASISTENCIA!#REF!&lt;&gt;"J",ASISTENCIA!#REF!&lt;&gt;"F"),SUMIF($F$13:$J$13,BF$13,$F23:$J23),"")</f>
        <v>#ERROR!</v>
      </c>
      <c r="BG23" s="168" t="str">
        <f>IF(AND(LEN($D23)&gt;0,SUMIF($F$13:$J$13,BG$13,$F23:$J23)&gt;0,ASISTENCIA!#REF!&lt;&gt;"X",ASISTENCIA!#REF!&lt;&gt;"L",ASISTENCIA!#REF!&lt;&gt;"J",ASISTENCIA!#REF!&lt;&gt;"F"),SUMIF($F$13:$J$13,BG$13,$F23:$J23),"")</f>
        <v>#ERROR!</v>
      </c>
      <c r="BH23" s="168" t="str">
        <f>IF(AND(LEN($D23)&gt;0,SUMIF($F$13:$J$13,BH$13,$F23:$J23)&gt;0,ASISTENCIA!BE22&lt;&gt;"X",ASISTENCIA!BE22&lt;&gt;"L",ASISTENCIA!BE22&lt;&gt;"J",ASISTENCIA!BE22&lt;&gt;"F"),SUMIF($F$13:$J$13,BH$13,$F23:$J23),"")</f>
        <v/>
      </c>
      <c r="BI23" s="168" t="str">
        <f>IF(AND(LEN($D23)&gt;0,SUMIF($F$13:$J$13,BI$13,$F23:$J23)&gt;0,ASISTENCIA!BF22&lt;&gt;"X",ASISTENCIA!BF22&lt;&gt;"L",ASISTENCIA!BF22&lt;&gt;"J",ASISTENCIA!BF22&lt;&gt;"F"),SUMIF($F$13:$J$13,BI$13,$F23:$J23),"")</f>
        <v/>
      </c>
      <c r="BJ23" s="168" t="str">
        <f>IF(AND(LEN($D23)&gt;0,SUMIF($F$13:$J$13,BJ$13,$F23:$J23)&gt;0,ASISTENCIA!BG22&lt;&gt;"X",ASISTENCIA!BG22&lt;&gt;"L",ASISTENCIA!BG22&lt;&gt;"J",ASISTENCIA!BG22&lt;&gt;"F"),SUMIF($F$13:$J$13,BJ$13,$F23:$J23),"")</f>
        <v/>
      </c>
      <c r="BK23" s="168" t="str">
        <f>IF(AND(LEN($D23)&gt;0,SUMIF($F$13:$J$13,BK$13,$F23:$J23)&gt;0,ASISTENCIA!BH22&lt;&gt;"X",ASISTENCIA!BH22&lt;&gt;"L",ASISTENCIA!BH22&lt;&gt;"J",ASISTENCIA!BH22&lt;&gt;"F"),SUMIF($F$13:$J$13,BK$13,$F23:$J23),"")</f>
        <v/>
      </c>
      <c r="BL23" s="168" t="str">
        <f>IF(AND(LEN($D23)&gt;0,SUMIF($F$13:$J$13,BL$13,$F23:$J23)&gt;0,ASISTENCIA!BI22&lt;&gt;"X",ASISTENCIA!BI22&lt;&gt;"L",ASISTENCIA!BI22&lt;&gt;"J",ASISTENCIA!BI22&lt;&gt;"F"),SUMIF($F$13:$J$13,BL$13,$F23:$J23),"")</f>
        <v/>
      </c>
      <c r="BM23" s="168" t="str">
        <f>IF(AND(LEN($D23)&gt;0,SUMIF($F$13:$J$13,BM$13,$F23:$J23)&gt;0,ASISTENCIA!BJ22&lt;&gt;"X",ASISTENCIA!BJ22&lt;&gt;"L",ASISTENCIA!BJ22&lt;&gt;"J",ASISTENCIA!BJ22&lt;&gt;"F"),SUMIF($F$13:$J$13,BM$13,$F23:$J23),"")</f>
        <v/>
      </c>
      <c r="BN23" s="168" t="str">
        <f>IF(AND(LEN($D23)&gt;0,SUMIF($F$13:$J$13,BN$13,$F23:$J23)&gt;0,ASISTENCIA!BK22&lt;&gt;"X",ASISTENCIA!BK22&lt;&gt;"L",ASISTENCIA!BK22&lt;&gt;"J",ASISTENCIA!BK22&lt;&gt;"F"),SUMIF($F$13:$J$13,BN$13,$F23:$J23),"")</f>
        <v/>
      </c>
      <c r="BO23" s="168" t="str">
        <f>IF(AND(LEN($D23)&gt;0,SUMIF($F$13:$J$13,BO$13,$F23:$J23)&gt;0,ASISTENCIA!BL22&lt;&gt;"X",ASISTENCIA!BL22&lt;&gt;"L",ASISTENCIA!BL22&lt;&gt;"J",ASISTENCIA!BL22&lt;&gt;"F"),SUMIF($F$13:$J$13,BO$13,$F23:$J23),"")</f>
        <v/>
      </c>
      <c r="BP23" s="168" t="str">
        <f>IF(AND(LEN($D23)&gt;0,SUMIF($F$13:$J$13,BP$13,$F23:$J23)&gt;0,ASISTENCIA!BM22&lt;&gt;"X",ASISTENCIA!BM22&lt;&gt;"L",ASISTENCIA!BM22&lt;&gt;"J",ASISTENCIA!BM22&lt;&gt;"F"),SUMIF($F$13:$J$13,BP$13,$F23:$J23),"")</f>
        <v/>
      </c>
      <c r="BQ23" s="168" t="str">
        <f>IF(AND(LEN($D23)&gt;0,SUMIF($F$13:$J$13,BQ$13,$F23:$J23)&gt;0,ASISTENCIA!BN22&lt;&gt;"X",ASISTENCIA!BN22&lt;&gt;"L",ASISTENCIA!BN22&lt;&gt;"J",ASISTENCIA!BN22&lt;&gt;"F"),SUMIF($F$13:$J$13,BQ$13,$F23:$J23),"")</f>
        <v/>
      </c>
      <c r="BR23" s="168" t="str">
        <f>IF(AND(LEN($D23)&gt;0,SUMIF($F$13:$J$13,BR$13,$F23:$J23)&gt;0,ASISTENCIA!BO22&lt;&gt;"X",ASISTENCIA!BO22&lt;&gt;"L",ASISTENCIA!BO22&lt;&gt;"J",ASISTENCIA!BO22&lt;&gt;"F"),SUMIF($F$13:$J$13,BR$13,$F23:$J23),"")</f>
        <v/>
      </c>
      <c r="BS23" s="168" t="str">
        <f>IF(AND(LEN($D23)&gt;0,SUMIF($F$13:$J$13,BS$13,$F23:$J23)&gt;0,ASISTENCIA!BP22&lt;&gt;"X",ASISTENCIA!BP22&lt;&gt;"L",ASISTENCIA!BP22&lt;&gt;"J",ASISTENCIA!BP22&lt;&gt;"F"),SUMIF($F$13:$J$13,BS$13,$F23:$J23),"")</f>
        <v/>
      </c>
      <c r="BT23" s="168" t="str">
        <f>IF(AND(LEN($D23)&gt;0,SUMIF($F$13:$J$13,BT$13,$F23:$J23)&gt;0,ASISTENCIA!BQ22&lt;&gt;"X",ASISTENCIA!BQ22&lt;&gt;"L",ASISTENCIA!BQ22&lt;&gt;"J",ASISTENCIA!BQ22&lt;&gt;"F"),SUMIF($F$13:$J$13,BT$13,$F23:$J23),"")</f>
        <v/>
      </c>
      <c r="BU23" s="168" t="str">
        <f>IF(AND(LEN($D23)&gt;0,SUMIF($F$13:$J$13,BU$13,$F23:$J23)&gt;0,ASISTENCIA!BR22&lt;&gt;"X",ASISTENCIA!BR22&lt;&gt;"L",ASISTENCIA!BR22&lt;&gt;"J",ASISTENCIA!BR22&lt;&gt;"F"),SUMIF($F$13:$J$13,BU$13,$F23:$J23),"")</f>
        <v/>
      </c>
      <c r="BV23" s="168" t="str">
        <f>IF(AND(LEN($D23)&gt;0,SUMIF($F$13:$J$13,BV$13,$F23:$J23)&gt;0,ASISTENCIA!BS22&lt;&gt;"X",ASISTENCIA!BS22&lt;&gt;"L",ASISTENCIA!BS22&lt;&gt;"J",ASISTENCIA!BS22&lt;&gt;"F"),SUMIF($F$13:$J$13,BV$13,$F23:$J23),"")</f>
        <v/>
      </c>
      <c r="BW23" s="168" t="str">
        <f>IF(AND(LEN($D23)&gt;0,SUMIF($F$13:$J$13,BW$13,$F23:$J23)&gt;0,ASISTENCIA!BT22&lt;&gt;"X",ASISTENCIA!BT22&lt;&gt;"L",ASISTENCIA!BT22&lt;&gt;"J",ASISTENCIA!BT22&lt;&gt;"F"),SUMIF($F$13:$J$13,BW$13,$F23:$J23),"")</f>
        <v/>
      </c>
      <c r="BX23" s="168" t="str">
        <f>IF(AND(LEN($D23)&gt;0,SUMIF($F$13:$J$13,BX$13,$F23:$J23)&gt;0,ASISTENCIA!BU22&lt;&gt;"X",ASISTENCIA!BU22&lt;&gt;"L",ASISTENCIA!BU22&lt;&gt;"J",ASISTENCIA!BU22&lt;&gt;"F"),SUMIF($F$13:$J$13,BX$13,$F23:$J23),"")</f>
        <v/>
      </c>
      <c r="BY23" s="168" t="str">
        <f>IF(AND(LEN($D23)&gt;0,SUMIF($F$13:$J$13,BY$13,$F23:$J23)&gt;0,ASISTENCIA!BV22&lt;&gt;"X",ASISTENCIA!BV22&lt;&gt;"L",ASISTENCIA!BV22&lt;&gt;"J",ASISTENCIA!BV22&lt;&gt;"F"),SUMIF($F$13:$J$13,BY$13,$F23:$J23),"")</f>
        <v/>
      </c>
      <c r="BZ23" s="168" t="str">
        <f>IF(AND(LEN($D23)&gt;0,SUMIF($F$13:$J$13,BZ$13,$F23:$J23)&gt;0,ASISTENCIA!BW22&lt;&gt;"X",ASISTENCIA!BW22&lt;&gt;"L",ASISTENCIA!BW22&lt;&gt;"J",ASISTENCIA!BW22&lt;&gt;"F"),SUMIF($F$13:$J$13,BZ$13,$F23:$J23),"")</f>
        <v/>
      </c>
      <c r="CA23" s="168" t="str">
        <f>IF(AND(LEN($D23)&gt;0,SUMIF($F$13:$J$13,CA$13,$F23:$J23)&gt;0,ASISTENCIA!BX22&lt;&gt;"X",ASISTENCIA!BX22&lt;&gt;"L",ASISTENCIA!BX22&lt;&gt;"J",ASISTENCIA!BX22&lt;&gt;"F"),SUMIF($F$13:$J$13,CA$13,$F23:$J23),"")</f>
        <v/>
      </c>
      <c r="CB23" s="168" t="str">
        <f>IF(AND(LEN($D23)&gt;0,SUMIF($F$13:$J$13,CB$13,$F23:$J23)&gt;0,ASISTENCIA!BY22&lt;&gt;"X",ASISTENCIA!BY22&lt;&gt;"L",ASISTENCIA!BY22&lt;&gt;"J",ASISTENCIA!BY22&lt;&gt;"F"),SUMIF($F$13:$J$13,CB$13,$F23:$J23),"")</f>
        <v/>
      </c>
      <c r="CC23" s="182" t="str">
        <f t="shared" si="5"/>
        <v>#ERROR!</v>
      </c>
      <c r="CD23" s="157"/>
    </row>
    <row r="24" ht="12.75" customHeight="1">
      <c r="A24" s="132" t="str">
        <f t="shared" si="6"/>
        <v/>
      </c>
      <c r="B24" s="183" t="str">
        <f>IF(LEN(C24)&gt;0,VLOOKUP($O$4,DATA!$A$1:$S$1,2,FALSE),"")</f>
        <v/>
      </c>
      <c r="C24" s="184" t="str">
        <f t="shared" si="1"/>
        <v/>
      </c>
      <c r="D24" s="136" t="str">
        <f>IF(LEN(ASISTENCIA!E23)&gt;0,ASISTENCIA!E23,"")</f>
        <v/>
      </c>
      <c r="E24" s="167" t="str">
        <f>IF(LEN(D24)&gt;0,ASISTENCIA!F23,"")</f>
        <v/>
      </c>
      <c r="F24" s="180"/>
      <c r="G24" s="180"/>
      <c r="H24" s="180"/>
      <c r="I24" s="180"/>
      <c r="J24" s="180"/>
      <c r="K24" s="168" t="str">
        <f t="shared" si="2"/>
        <v/>
      </c>
      <c r="L24" s="185"/>
      <c r="M24" s="168"/>
      <c r="N24" s="168" t="str">
        <f t="shared" si="3"/>
        <v>#ERROR!</v>
      </c>
      <c r="O24" s="168" t="str">
        <f>IF(AND(LEN($D24)&gt;0,SUMIF($F$13:$J$13,O$13,$F24:$J24)&gt;0,ASISTENCIA!I23&lt;&gt;"X",ASISTENCIA!I23&lt;&gt;"L",ASISTENCIA!I23&lt;&gt;"J",ASISTENCIA!I23&lt;&gt;"V",ASISTENCIA!I23&lt;&gt;"F",ASISTENCIA!I23&lt;&gt;""),SUMIF($F$13:$J$13,O$13,$F24:$J24),"")</f>
        <v/>
      </c>
      <c r="P24" s="168" t="str">
        <f>IF(AND(LEN($D24)&gt;0,SUMIF($F$13:$J$13,P$13,$F24:$J24)&gt;0,ASISTENCIA!J23&lt;&gt;"X",ASISTENCIA!J23&lt;&gt;"L",ASISTENCIA!J23&lt;&gt;"J",ASISTENCIA!J23&lt;&gt;"V",ASISTENCIA!J23&lt;&gt;"F",ASISTENCIA!J23&lt;&gt;""),SUMIF($F$13:$J$13,P$13,$F24:$J24),"")</f>
        <v/>
      </c>
      <c r="Q24" s="168" t="str">
        <f>IF(AND(LEN($D24)&gt;0,SUMIF($F$13:$J$13,Q$13,$F24:$J24)&gt;0,ASISTENCIA!K23&lt;&gt;"X",ASISTENCIA!K23&lt;&gt;"L",ASISTENCIA!K23&lt;&gt;"J",ASISTENCIA!K23&lt;&gt;"V",ASISTENCIA!K23&lt;&gt;"F",ASISTENCIA!K23&lt;&gt;""),SUMIF($F$13:$J$13,Q$13,$F24:$J24),"")</f>
        <v/>
      </c>
      <c r="R24" s="168" t="str">
        <f>IF(AND(LEN($D24)&gt;0,SUMIF($F$13:$J$13,R$13,$F24:$J24)&gt;0,ASISTENCIA!L23&lt;&gt;"X",ASISTENCIA!L23&lt;&gt;"L",ASISTENCIA!L23&lt;&gt;"J",ASISTENCIA!L23&lt;&gt;"V",ASISTENCIA!L23&lt;&gt;"F",ASISTENCIA!L23&lt;&gt;""),SUMIF($F$13:$J$13,R$13,$F24:$J24),"")</f>
        <v/>
      </c>
      <c r="S24" s="168" t="str">
        <f>IF(AND(LEN($D24)&gt;0,SUMIF($F$13:$J$13,S$13,$F24:$J24)&gt;0,ASISTENCIA!M23&lt;&gt;"X",ASISTENCIA!M23&lt;&gt;"L",ASISTENCIA!M23&lt;&gt;"J",ASISTENCIA!M23&lt;&gt;"V",ASISTENCIA!M23&lt;&gt;"F",ASISTENCIA!M23&lt;&gt;""),SUMIF($F$13:$J$13,S$13,$F24:$J24),"")</f>
        <v/>
      </c>
      <c r="T24" s="168" t="str">
        <f>IF(AND(LEN($D24)&gt;0,SUMIF($F$13:$J$13,T$13,$F24:$J24)&gt;0,ASISTENCIA!N23&lt;&gt;"X",ASISTENCIA!N23&lt;&gt;"L",ASISTENCIA!N23&lt;&gt;"J",ASISTENCIA!N23&lt;&gt;"V",ASISTENCIA!N23&lt;&gt;"F",ASISTENCIA!N23&lt;&gt;""),SUMIF($F$13:$J$13,T$13,$F24:$J24),"")</f>
        <v/>
      </c>
      <c r="U24" s="168" t="str">
        <f>IF(AND(LEN($D24)&gt;0,SUMIF($F$13:$J$13,U$13,$F24:$J24)&gt;0,ASISTENCIA!O23&lt;&gt;"X",ASISTENCIA!O23&lt;&gt;"L",ASISTENCIA!O23&lt;&gt;"J",ASISTENCIA!O23&lt;&gt;"V",ASISTENCIA!O23&lt;&gt;"F",ASISTENCIA!O23&lt;&gt;""),SUMIF($F$13:$J$13,U$13,$F24:$J24),"")</f>
        <v/>
      </c>
      <c r="V24" s="168" t="str">
        <f>IF(AND(LEN($D24)&gt;0,SUMIF($F$13:$J$13,V$13,$F24:$J24)&gt;0,ASISTENCIA!P23&lt;&gt;"X",ASISTENCIA!P23&lt;&gt;"L",ASISTENCIA!P23&lt;&gt;"J",ASISTENCIA!P23&lt;&gt;"V",ASISTENCIA!P23&lt;&gt;"F",ASISTENCIA!P23&lt;&gt;""),SUMIF($F$13:$J$13,V$13,$F24:$J24),"")</f>
        <v/>
      </c>
      <c r="W24" s="168" t="str">
        <f>IF(AND(LEN($D24)&gt;0,SUMIF($F$13:$J$13,W$13,$F24:$J24)&gt;0,ASISTENCIA!Q23&lt;&gt;"X",ASISTENCIA!Q23&lt;&gt;"L",ASISTENCIA!Q23&lt;&gt;"J",ASISTENCIA!Q23&lt;&gt;"V",ASISTENCIA!Q23&lt;&gt;"F",ASISTENCIA!Q23&lt;&gt;""),SUMIF($F$13:$J$13,W$13,$F24:$J24),"")</f>
        <v/>
      </c>
      <c r="X24" s="168" t="str">
        <f>IF(AND(LEN($D24)&gt;0,SUMIF($F$13:$J$13,X$13,$F24:$J24)&gt;0,ASISTENCIA!R23&lt;&gt;"X",ASISTENCIA!R23&lt;&gt;"L",ASISTENCIA!R23&lt;&gt;"J",ASISTENCIA!R23&lt;&gt;"V",ASISTENCIA!R23&lt;&gt;"F",ASISTENCIA!R23&lt;&gt;""),SUMIF($F$13:$J$13,X$13,$F24:$J24),"")</f>
        <v/>
      </c>
      <c r="Y24" s="168" t="str">
        <f>IF(AND(LEN($D24)&gt;0,SUMIF($F$13:$J$13,Y$13,$F24:$J24)&gt;0,ASISTENCIA!S23&lt;&gt;"X",ASISTENCIA!S23&lt;&gt;"L",ASISTENCIA!S23&lt;&gt;"J",ASISTENCIA!S23&lt;&gt;"V",ASISTENCIA!S23&lt;&gt;"F",ASISTENCIA!S23&lt;&gt;""),SUMIF($F$13:$J$13,Y$13,$F24:$J24),"")</f>
        <v/>
      </c>
      <c r="Z24" s="168" t="str">
        <f>IF(AND(LEN($D24)&gt;0,SUMIF($F$13:$J$13,Z$13,$F24:$J24)&gt;0,ASISTENCIA!T23&lt;&gt;"X",ASISTENCIA!T23&lt;&gt;"L",ASISTENCIA!T23&lt;&gt;"J",ASISTENCIA!T23&lt;&gt;"V",ASISTENCIA!T23&lt;&gt;"F",ASISTENCIA!T23&lt;&gt;""),SUMIF($F$13:$J$13,Z$13,$F24:$J24),"")</f>
        <v/>
      </c>
      <c r="AA24" s="168" t="str">
        <f>IF(AND(LEN($D24)&gt;0,SUMIF($F$13:$J$13,AA$13,$F24:$J24)&gt;0,ASISTENCIA!U23&lt;&gt;"X",ASISTENCIA!U23&lt;&gt;"L",ASISTENCIA!U23&lt;&gt;"J",ASISTENCIA!U23&lt;&gt;"V",ASISTENCIA!U23&lt;&gt;"F",ASISTENCIA!U23&lt;&gt;""),SUMIF($F$13:$J$13,AA$13,$F24:$J24),"")</f>
        <v/>
      </c>
      <c r="AB24" s="168" t="str">
        <f>IF(AND(LEN($D24)&gt;0,SUMIF($F$13:$J$13,AB$13,$F24:$J24)&gt;0,ASISTENCIA!V23&lt;&gt;"X",ASISTENCIA!V23&lt;&gt;"L",ASISTENCIA!V23&lt;&gt;"J",ASISTENCIA!V23&lt;&gt;"V",ASISTENCIA!V23&lt;&gt;"F",ASISTENCIA!V23&lt;&gt;""),SUMIF($F$13:$J$13,AB$13,$F24:$J24),"")</f>
        <v/>
      </c>
      <c r="AC24" s="168" t="str">
        <f>IF(AND(LEN($D24)&gt;0,SUMIF($F$13:$J$13,AC$13,$F24:$J24)&gt;0,ASISTENCIA!W23&lt;&gt;"X",ASISTENCIA!W23&lt;&gt;"L",ASISTENCIA!W23&lt;&gt;"J",ASISTENCIA!W23&lt;&gt;"V",ASISTENCIA!W23&lt;&gt;"F",ASISTENCIA!W23&lt;&gt;""),SUMIF($F$13:$J$13,AC$13,$F24:$J24),"")</f>
        <v/>
      </c>
      <c r="AD24" s="168" t="str">
        <f>IF(AND(LEN($D24)&gt;0,SUMIF($F$13:$J$13,AD$13,$F24:$J24)&gt;0,ASISTENCIA!X23&lt;&gt;"X",ASISTENCIA!X23&lt;&gt;"L",ASISTENCIA!X23&lt;&gt;"J",ASISTENCIA!X23&lt;&gt;"V",ASISTENCIA!X23&lt;&gt;"F",ASISTENCIA!X23&lt;&gt;""),SUMIF($F$13:$J$13,AD$13,$F24:$J24),"")</f>
        <v/>
      </c>
      <c r="AE24" s="168" t="str">
        <f>IF(AND(LEN($D24)&gt;0,SUMIF($F$13:$J$13,AE$13,$F24:$J24)&gt;0,ASISTENCIA!Y23&lt;&gt;"X",ASISTENCIA!Y23&lt;&gt;"L",ASISTENCIA!Y23&lt;&gt;"J",ASISTENCIA!Y23&lt;&gt;"V",ASISTENCIA!Y23&lt;&gt;"F",ASISTENCIA!Y23&lt;&gt;""),SUMIF($F$13:$J$13,AE$13,$F24:$J24),"")</f>
        <v/>
      </c>
      <c r="AF24" s="168" t="str">
        <f>IF(AND(LEN($D24)&gt;0,SUMIF($F$13:$J$13,AF$13,$F24:$J24)&gt;0,ASISTENCIA!Z23&lt;&gt;"X",ASISTENCIA!Z23&lt;&gt;"L",ASISTENCIA!Z23&lt;&gt;"J",ASISTENCIA!Z23&lt;&gt;"V",ASISTENCIA!Z23&lt;&gt;"F",ASISTENCIA!Z23&lt;&gt;""),SUMIF($F$13:$J$13,AF$13,$F24:$J24),"")</f>
        <v/>
      </c>
      <c r="AG24" s="168" t="str">
        <f>IF(AND(LEN($D24)&gt;0,SUMIF($F$13:$J$13,AG$13,$F24:$J24)&gt;0,ASISTENCIA!AA23&lt;&gt;"X",ASISTENCIA!AA23&lt;&gt;"L",ASISTENCIA!AA23&lt;&gt;"J",ASISTENCIA!AA23&lt;&gt;"V",ASISTENCIA!AA23&lt;&gt;"F",ASISTENCIA!AA23&lt;&gt;""),SUMIF($F$13:$J$13,AG$13,$F24:$J24),"")</f>
        <v/>
      </c>
      <c r="AH24" s="168" t="str">
        <f>IF(AND(LEN($D24)&gt;0,SUMIF($F$13:$J$13,AH$13,$F24:$J24)&gt;0,ASISTENCIA!AB23&lt;&gt;"X",ASISTENCIA!AB23&lt;&gt;"L",ASISTENCIA!AB23&lt;&gt;"J",ASISTENCIA!AB23&lt;&gt;"V",ASISTENCIA!AB23&lt;&gt;"F",ASISTENCIA!AB23&lt;&gt;""),SUMIF($F$13:$J$13,AH$13,$F24:$J24),"")</f>
        <v/>
      </c>
      <c r="AI24" s="168" t="str">
        <f>IF(AND(LEN($D24)&gt;0,SUMIF($F$13:$J$13,AI$13,$F24:$J24)&gt;0,ASISTENCIA!AC23&lt;&gt;"X",ASISTENCIA!AC23&lt;&gt;"L",ASISTENCIA!AC23&lt;&gt;"J",ASISTENCIA!AC23&lt;&gt;"V",ASISTENCIA!AC23&lt;&gt;"F",ASISTENCIA!AC23&lt;&gt;""),SUMIF($F$13:$J$13,AI$13,$F24:$J24),"")</f>
        <v/>
      </c>
      <c r="AJ24" s="168" t="str">
        <f>IF(AND(LEN($D24)&gt;0,SUMIF($F$13:$J$13,AJ$13,$F24:$J24)&gt;0,ASISTENCIA!AD23&lt;&gt;"X",ASISTENCIA!AD23&lt;&gt;"L",ASISTENCIA!AD23&lt;&gt;"J",ASISTENCIA!AD23&lt;&gt;"V",ASISTENCIA!AD23&lt;&gt;"F",ASISTENCIA!AD23&lt;&gt;""),SUMIF($F$13:$J$13,AJ$13,$F24:$J24),"")</f>
        <v/>
      </c>
      <c r="AK24" s="168" t="str">
        <f>IF(AND(LEN($D24)&gt;0,SUMIF($F$13:$J$13,AK$13,$F24:$J24)&gt;0,ASISTENCIA!AE23&lt;&gt;"X",ASISTENCIA!AE23&lt;&gt;"L",ASISTENCIA!AE23&lt;&gt;"J",ASISTENCIA!AE23&lt;&gt;"V",ASISTENCIA!AE23&lt;&gt;"F",ASISTENCIA!AE23&lt;&gt;""),SUMIF($F$13:$J$13,AK$13,$F24:$J24),"")</f>
        <v/>
      </c>
      <c r="AL24" s="168" t="str">
        <f>IF(AND(LEN($D24)&gt;0,SUMIF($F$13:$J$13,AL$13,$F24:$J24)&gt;0,ASISTENCIA!AF23&lt;&gt;"X",ASISTENCIA!AF23&lt;&gt;"L",ASISTENCIA!AF23&lt;&gt;"J",ASISTENCIA!AF23&lt;&gt;"V",ASISTENCIA!AF23&lt;&gt;"F",ASISTENCIA!AF23&lt;&gt;""),SUMIF($F$13:$J$13,AL$13,$F24:$J24),"")</f>
        <v/>
      </c>
      <c r="AM24" s="168" t="str">
        <f>IF(AND(LEN($D24)&gt;0,SUMIF($F$13:$J$13,AM$13,$F24:$J24)&gt;0,ASISTENCIA!AG23&lt;&gt;"X",ASISTENCIA!AG23&lt;&gt;"L",ASISTENCIA!AG23&lt;&gt;"J",ASISTENCIA!AG23&lt;&gt;"V",ASISTENCIA!AG23&lt;&gt;"F",ASISTENCIA!AG23&lt;&gt;""),SUMIF($F$13:$J$13,AM$13,$F24:$J24),"")</f>
        <v/>
      </c>
      <c r="AN24" s="168" t="str">
        <f>IF(AND(LEN($D24)&gt;0,SUMIF($F$13:$J$13,AN$13,$F24:$J24)&gt;0,ASISTENCIA!AH23&lt;&gt;"X",ASISTENCIA!AH23&lt;&gt;"L",ASISTENCIA!AH23&lt;&gt;"J",ASISTENCIA!AH23&lt;&gt;"V",ASISTENCIA!AH23&lt;&gt;"F",ASISTENCIA!AH23&lt;&gt;""),SUMIF($F$13:$J$13,AN$13,$F24:$J24),"")</f>
        <v/>
      </c>
      <c r="AO24" s="168" t="str">
        <f>IF(AND(LEN($D24)&gt;0,SUMIF($F$13:$J$13,AO$13,$F24:$J24)&gt;0,ASISTENCIA!AI23&lt;&gt;"X",ASISTENCIA!AI23&lt;&gt;"L",ASISTENCIA!AI23&lt;&gt;"J",ASISTENCIA!AI23&lt;&gt;"V",ASISTENCIA!AI23&lt;&gt;"F",ASISTENCIA!AI23&lt;&gt;""),SUMIF($F$13:$J$13,AO$13,$F24:$J24),"")</f>
        <v/>
      </c>
      <c r="AP24" s="168" t="str">
        <f>IF(AND(LEN($D24)&gt;0,SUMIF($F$13:$J$13,AP$13,$F24:$J24)&gt;0,ASISTENCIA!AJ23&lt;&gt;"X",ASISTENCIA!AJ23&lt;&gt;"L",ASISTENCIA!AJ23&lt;&gt;"J",ASISTENCIA!AJ23&lt;&gt;"V",ASISTENCIA!AJ23&lt;&gt;"F",ASISTENCIA!AJ23&lt;&gt;""),SUMIF($F$13:$J$13,AP$13,$F24:$J24),"")</f>
        <v/>
      </c>
      <c r="AQ24" s="168" t="str">
        <f>IF(AND(LEN($D24)&gt;0,SUMIF($F$13:$J$13,AQ$13,$F24:$J24)&gt;0,ASISTENCIA!AK23&lt;&gt;"X",ASISTENCIA!AK23&lt;&gt;"L",ASISTENCIA!AK23&lt;&gt;"J",ASISTENCIA!AK23&lt;&gt;"V",ASISTENCIA!AK23&lt;&gt;"F",ASISTENCIA!AK23&lt;&gt;""),SUMIF($F$13:$J$13,AQ$13,$F24:$J24),"")</f>
        <v/>
      </c>
      <c r="AR24" s="168" t="str">
        <f>IF(AND(LEN($D24)&gt;0,SUMIF($F$13:$J$13,AR$13,$F24:$J24)&gt;0,ASISTENCIA!AL23&lt;&gt;"X",ASISTENCIA!AL23&lt;&gt;"L",ASISTENCIA!AL23&lt;&gt;"J",ASISTENCIA!AL23&lt;&gt;"V",ASISTENCIA!AL23&lt;&gt;"F",ASISTENCIA!AL23&lt;&gt;""),SUMIF($F$13:$J$13,AR$13,$F24:$J24),"")</f>
        <v/>
      </c>
      <c r="AS24" s="168" t="str">
        <f>IF(AND(LEN($D24)&gt;0,SUMIF($F$13:$J$13,AS$13,$F24:$J24)&gt;0,ASISTENCIA!AM23&lt;&gt;"X",ASISTENCIA!AM23&lt;&gt;"L",ASISTENCIA!AM23&lt;&gt;"J",ASISTENCIA!AM23&lt;&gt;"V",ASISTENCIA!AM23&lt;&gt;"F",ASISTENCIA!AM23&lt;&gt;""),SUMIF($F$13:$J$13,AS$13,$F24:$J24),"")</f>
        <v/>
      </c>
      <c r="AT24" s="182" t="str">
        <f t="shared" si="4"/>
        <v/>
      </c>
      <c r="AU24" s="157"/>
      <c r="AV24" s="157"/>
      <c r="AW24" s="157"/>
      <c r="AX24" s="168" t="str">
        <f>IF(AND(LEN($D24)&gt;0,SUMIF($F$13:$J$13,AX$13,$F24:$J24)&gt;0,ASISTENCIA!AU23&lt;&gt;"X",ASISTENCIA!AU23&lt;&gt;"L",ASISTENCIA!AU23&lt;&gt;"J",ASISTENCIA!AU23&lt;&gt;"F"),SUMIF($F$13:$J$13,AX$13,$F24:$J24),"")</f>
        <v/>
      </c>
      <c r="AY24" s="168" t="str">
        <f>IF(AND(LEN($D24)&gt;0,SUMIF($F$13:$J$13,AY$13,$F24:$J24)&gt;0,ASISTENCIA!AV23&lt;&gt;"X",ASISTENCIA!AV23&lt;&gt;"L",ASISTENCIA!AV23&lt;&gt;"J",ASISTENCIA!AV23&lt;&gt;"F"),SUMIF($F$13:$J$13,AY$13,$F24:$J24),"")</f>
        <v/>
      </c>
      <c r="AZ24" s="168" t="str">
        <f>IF(AND(LEN($D24)&gt;0,SUMIF($F$13:$J$13,AZ$13,$F24:$J24)&gt;0,ASISTENCIA!AW23&lt;&gt;"X",ASISTENCIA!AW23&lt;&gt;"L",ASISTENCIA!AW23&lt;&gt;"J",ASISTENCIA!AW23&lt;&gt;"F"),SUMIF($F$13:$J$13,AZ$13,$F24:$J24),"")</f>
        <v/>
      </c>
      <c r="BA24" s="168" t="str">
        <f>IF(AND(LEN($D24)&gt;0,SUMIF($F$13:$J$13,BA$13,$F24:$J24)&gt;0,ASISTENCIA!AX23&lt;&gt;"X",ASISTENCIA!AX23&lt;&gt;"L",ASISTENCIA!AX23&lt;&gt;"J",ASISTENCIA!AX23&lt;&gt;"F"),SUMIF($F$13:$J$13,BA$13,$F24:$J24),"")</f>
        <v/>
      </c>
      <c r="BB24" s="168" t="str">
        <f>IF(AND(LEN($D24)&gt;0,SUMIF($F$13:$J$13,BB$13,$F24:$J24)&gt;0,ASISTENCIA!AY23&lt;&gt;"X",ASISTENCIA!AY23&lt;&gt;"L",ASISTENCIA!AY23&lt;&gt;"J",ASISTENCIA!AY23&lt;&gt;"F"),SUMIF($F$13:$J$13,BB$13,$F24:$J24),"")</f>
        <v/>
      </c>
      <c r="BC24" s="168" t="str">
        <f>IF(AND(LEN($D24)&gt;0,SUMIF($F$13:$J$13,BC$13,$F24:$J24)&gt;0,ASISTENCIA!AZ23&lt;&gt;"X",ASISTENCIA!AZ23&lt;&gt;"L",ASISTENCIA!AZ23&lt;&gt;"J",ASISTENCIA!AZ23&lt;&gt;"F"),SUMIF($F$13:$J$13,BC$13,$F24:$J24),"")</f>
        <v/>
      </c>
      <c r="BD24" s="168" t="str">
        <f>IF(AND(LEN($D24)&gt;0,SUMIF($F$13:$J$13,BD$13,$F24:$J24)&gt;0,ASISTENCIA!BA23&lt;&gt;"X",ASISTENCIA!BA23&lt;&gt;"L",ASISTENCIA!BA23&lt;&gt;"J",ASISTENCIA!BA23&lt;&gt;"F"),SUMIF($F$13:$J$13,BD$13,$F24:$J24),"")</f>
        <v/>
      </c>
      <c r="BE24" s="168" t="str">
        <f>IF(AND(LEN($D24)&gt;0,SUMIF($F$13:$J$13,BE$13,$F24:$J24)&gt;0,ASISTENCIA!BB23&lt;&gt;"X",ASISTENCIA!BB23&lt;&gt;"L",ASISTENCIA!BB23&lt;&gt;"J",ASISTENCIA!BB23&lt;&gt;"F"),SUMIF($F$13:$J$13,BE$13,$F24:$J24),"")</f>
        <v/>
      </c>
      <c r="BF24" s="168" t="str">
        <f>IF(AND(LEN($D24)&gt;0,SUMIF($F$13:$J$13,BF$13,$F24:$J24)&gt;0,ASISTENCIA!#REF!&lt;&gt;"X",ASISTENCIA!#REF!&lt;&gt;"L",ASISTENCIA!#REF!&lt;&gt;"J",ASISTENCIA!#REF!&lt;&gt;"F"),SUMIF($F$13:$J$13,BF$13,$F24:$J24),"")</f>
        <v>#ERROR!</v>
      </c>
      <c r="BG24" s="168" t="str">
        <f>IF(AND(LEN($D24)&gt;0,SUMIF($F$13:$J$13,BG$13,$F24:$J24)&gt;0,ASISTENCIA!#REF!&lt;&gt;"X",ASISTENCIA!#REF!&lt;&gt;"L",ASISTENCIA!#REF!&lt;&gt;"J",ASISTENCIA!#REF!&lt;&gt;"F"),SUMIF($F$13:$J$13,BG$13,$F24:$J24),"")</f>
        <v>#ERROR!</v>
      </c>
      <c r="BH24" s="168" t="str">
        <f>IF(AND(LEN($D24)&gt;0,SUMIF($F$13:$J$13,BH$13,$F24:$J24)&gt;0,ASISTENCIA!BE23&lt;&gt;"X",ASISTENCIA!BE23&lt;&gt;"L",ASISTENCIA!BE23&lt;&gt;"J",ASISTENCIA!BE23&lt;&gt;"F"),SUMIF($F$13:$J$13,BH$13,$F24:$J24),"")</f>
        <v/>
      </c>
      <c r="BI24" s="168" t="str">
        <f>IF(AND(LEN($D24)&gt;0,SUMIF($F$13:$J$13,BI$13,$F24:$J24)&gt;0,ASISTENCIA!BF23&lt;&gt;"X",ASISTENCIA!BF23&lt;&gt;"L",ASISTENCIA!BF23&lt;&gt;"J",ASISTENCIA!BF23&lt;&gt;"F"),SUMIF($F$13:$J$13,BI$13,$F24:$J24),"")</f>
        <v/>
      </c>
      <c r="BJ24" s="168" t="str">
        <f>IF(AND(LEN($D24)&gt;0,SUMIF($F$13:$J$13,BJ$13,$F24:$J24)&gt;0,ASISTENCIA!BG23&lt;&gt;"X",ASISTENCIA!BG23&lt;&gt;"L",ASISTENCIA!BG23&lt;&gt;"J",ASISTENCIA!BG23&lt;&gt;"F"),SUMIF($F$13:$J$13,BJ$13,$F24:$J24),"")</f>
        <v/>
      </c>
      <c r="BK24" s="168" t="str">
        <f>IF(AND(LEN($D24)&gt;0,SUMIF($F$13:$J$13,BK$13,$F24:$J24)&gt;0,ASISTENCIA!BH23&lt;&gt;"X",ASISTENCIA!BH23&lt;&gt;"L",ASISTENCIA!BH23&lt;&gt;"J",ASISTENCIA!BH23&lt;&gt;"F"),SUMIF($F$13:$J$13,BK$13,$F24:$J24),"")</f>
        <v/>
      </c>
      <c r="BL24" s="168" t="str">
        <f>IF(AND(LEN($D24)&gt;0,SUMIF($F$13:$J$13,BL$13,$F24:$J24)&gt;0,ASISTENCIA!BI23&lt;&gt;"X",ASISTENCIA!BI23&lt;&gt;"L",ASISTENCIA!BI23&lt;&gt;"J",ASISTENCIA!BI23&lt;&gt;"F"),SUMIF($F$13:$J$13,BL$13,$F24:$J24),"")</f>
        <v/>
      </c>
      <c r="BM24" s="168" t="str">
        <f>IF(AND(LEN($D24)&gt;0,SUMIF($F$13:$J$13,BM$13,$F24:$J24)&gt;0,ASISTENCIA!BJ23&lt;&gt;"X",ASISTENCIA!BJ23&lt;&gt;"L",ASISTENCIA!BJ23&lt;&gt;"J",ASISTENCIA!BJ23&lt;&gt;"F"),SUMIF($F$13:$J$13,BM$13,$F24:$J24),"")</f>
        <v/>
      </c>
      <c r="BN24" s="168" t="str">
        <f>IF(AND(LEN($D24)&gt;0,SUMIF($F$13:$J$13,BN$13,$F24:$J24)&gt;0,ASISTENCIA!BK23&lt;&gt;"X",ASISTENCIA!BK23&lt;&gt;"L",ASISTENCIA!BK23&lt;&gt;"J",ASISTENCIA!BK23&lt;&gt;"F"),SUMIF($F$13:$J$13,BN$13,$F24:$J24),"")</f>
        <v/>
      </c>
      <c r="BO24" s="168" t="str">
        <f>IF(AND(LEN($D24)&gt;0,SUMIF($F$13:$J$13,BO$13,$F24:$J24)&gt;0,ASISTENCIA!BL23&lt;&gt;"X",ASISTENCIA!BL23&lt;&gt;"L",ASISTENCIA!BL23&lt;&gt;"J",ASISTENCIA!BL23&lt;&gt;"F"),SUMIF($F$13:$J$13,BO$13,$F24:$J24),"")</f>
        <v/>
      </c>
      <c r="BP24" s="168" t="str">
        <f>IF(AND(LEN($D24)&gt;0,SUMIF($F$13:$J$13,BP$13,$F24:$J24)&gt;0,ASISTENCIA!BM23&lt;&gt;"X",ASISTENCIA!BM23&lt;&gt;"L",ASISTENCIA!BM23&lt;&gt;"J",ASISTENCIA!BM23&lt;&gt;"F"),SUMIF($F$13:$J$13,BP$13,$F24:$J24),"")</f>
        <v/>
      </c>
      <c r="BQ24" s="168" t="str">
        <f>IF(AND(LEN($D24)&gt;0,SUMIF($F$13:$J$13,BQ$13,$F24:$J24)&gt;0,ASISTENCIA!BN23&lt;&gt;"X",ASISTENCIA!BN23&lt;&gt;"L",ASISTENCIA!BN23&lt;&gt;"J",ASISTENCIA!BN23&lt;&gt;"F"),SUMIF($F$13:$J$13,BQ$13,$F24:$J24),"")</f>
        <v/>
      </c>
      <c r="BR24" s="168" t="str">
        <f>IF(AND(LEN($D24)&gt;0,SUMIF($F$13:$J$13,BR$13,$F24:$J24)&gt;0,ASISTENCIA!BO23&lt;&gt;"X",ASISTENCIA!BO23&lt;&gt;"L",ASISTENCIA!BO23&lt;&gt;"J",ASISTENCIA!BO23&lt;&gt;"F"),SUMIF($F$13:$J$13,BR$13,$F24:$J24),"")</f>
        <v/>
      </c>
      <c r="BS24" s="168" t="str">
        <f>IF(AND(LEN($D24)&gt;0,SUMIF($F$13:$J$13,BS$13,$F24:$J24)&gt;0,ASISTENCIA!BP23&lt;&gt;"X",ASISTENCIA!BP23&lt;&gt;"L",ASISTENCIA!BP23&lt;&gt;"J",ASISTENCIA!BP23&lt;&gt;"F"),SUMIF($F$13:$J$13,BS$13,$F24:$J24),"")</f>
        <v/>
      </c>
      <c r="BT24" s="168" t="str">
        <f>IF(AND(LEN($D24)&gt;0,SUMIF($F$13:$J$13,BT$13,$F24:$J24)&gt;0,ASISTENCIA!BQ23&lt;&gt;"X",ASISTENCIA!BQ23&lt;&gt;"L",ASISTENCIA!BQ23&lt;&gt;"J",ASISTENCIA!BQ23&lt;&gt;"F"),SUMIF($F$13:$J$13,BT$13,$F24:$J24),"")</f>
        <v/>
      </c>
      <c r="BU24" s="168" t="str">
        <f>IF(AND(LEN($D24)&gt;0,SUMIF($F$13:$J$13,BU$13,$F24:$J24)&gt;0,ASISTENCIA!BR23&lt;&gt;"X",ASISTENCIA!BR23&lt;&gt;"L",ASISTENCIA!BR23&lt;&gt;"J",ASISTENCIA!BR23&lt;&gt;"F"),SUMIF($F$13:$J$13,BU$13,$F24:$J24),"")</f>
        <v/>
      </c>
      <c r="BV24" s="168" t="str">
        <f>IF(AND(LEN($D24)&gt;0,SUMIF($F$13:$J$13,BV$13,$F24:$J24)&gt;0,ASISTENCIA!BS23&lt;&gt;"X",ASISTENCIA!BS23&lt;&gt;"L",ASISTENCIA!BS23&lt;&gt;"J",ASISTENCIA!BS23&lt;&gt;"F"),SUMIF($F$13:$J$13,BV$13,$F24:$J24),"")</f>
        <v/>
      </c>
      <c r="BW24" s="168" t="str">
        <f>IF(AND(LEN($D24)&gt;0,SUMIF($F$13:$J$13,BW$13,$F24:$J24)&gt;0,ASISTENCIA!BT23&lt;&gt;"X",ASISTENCIA!BT23&lt;&gt;"L",ASISTENCIA!BT23&lt;&gt;"J",ASISTENCIA!BT23&lt;&gt;"F"),SUMIF($F$13:$J$13,BW$13,$F24:$J24),"")</f>
        <v/>
      </c>
      <c r="BX24" s="168" t="str">
        <f>IF(AND(LEN($D24)&gt;0,SUMIF($F$13:$J$13,BX$13,$F24:$J24)&gt;0,ASISTENCIA!BU23&lt;&gt;"X",ASISTENCIA!BU23&lt;&gt;"L",ASISTENCIA!BU23&lt;&gt;"J",ASISTENCIA!BU23&lt;&gt;"F"),SUMIF($F$13:$J$13,BX$13,$F24:$J24),"")</f>
        <v/>
      </c>
      <c r="BY24" s="168" t="str">
        <f>IF(AND(LEN($D24)&gt;0,SUMIF($F$13:$J$13,BY$13,$F24:$J24)&gt;0,ASISTENCIA!BV23&lt;&gt;"X",ASISTENCIA!BV23&lt;&gt;"L",ASISTENCIA!BV23&lt;&gt;"J",ASISTENCIA!BV23&lt;&gt;"F"),SUMIF($F$13:$J$13,BY$13,$F24:$J24),"")</f>
        <v/>
      </c>
      <c r="BZ24" s="168" t="str">
        <f>IF(AND(LEN($D24)&gt;0,SUMIF($F$13:$J$13,BZ$13,$F24:$J24)&gt;0,ASISTENCIA!BW23&lt;&gt;"X",ASISTENCIA!BW23&lt;&gt;"L",ASISTENCIA!BW23&lt;&gt;"J",ASISTENCIA!BW23&lt;&gt;"F"),SUMIF($F$13:$J$13,BZ$13,$F24:$J24),"")</f>
        <v/>
      </c>
      <c r="CA24" s="168" t="str">
        <f>IF(AND(LEN($D24)&gt;0,SUMIF($F$13:$J$13,CA$13,$F24:$J24)&gt;0,ASISTENCIA!BX23&lt;&gt;"X",ASISTENCIA!BX23&lt;&gt;"L",ASISTENCIA!BX23&lt;&gt;"J",ASISTENCIA!BX23&lt;&gt;"F"),SUMIF($F$13:$J$13,CA$13,$F24:$J24),"")</f>
        <v/>
      </c>
      <c r="CB24" s="168" t="str">
        <f>IF(AND(LEN($D24)&gt;0,SUMIF($F$13:$J$13,CB$13,$F24:$J24)&gt;0,ASISTENCIA!BY23&lt;&gt;"X",ASISTENCIA!BY23&lt;&gt;"L",ASISTENCIA!BY23&lt;&gt;"J",ASISTENCIA!BY23&lt;&gt;"F"),SUMIF($F$13:$J$13,CB$13,$F24:$J24),"")</f>
        <v/>
      </c>
      <c r="CC24" s="182" t="str">
        <f t="shared" si="5"/>
        <v>#ERROR!</v>
      </c>
      <c r="CD24" s="157"/>
    </row>
    <row r="25" ht="12.75" customHeight="1">
      <c r="A25" s="132" t="str">
        <f t="shared" si="6"/>
        <v/>
      </c>
      <c r="B25" s="183" t="str">
        <f>IF(LEN(C25)&gt;0,VLOOKUP($O$4,DATA!$A$1:$S$1,2,FALSE),"")</f>
        <v/>
      </c>
      <c r="C25" s="184" t="str">
        <f t="shared" si="1"/>
        <v/>
      </c>
      <c r="D25" s="136" t="str">
        <f>IF(LEN(ASISTENCIA!E24)&gt;0,ASISTENCIA!E24,"")</f>
        <v/>
      </c>
      <c r="E25" s="167" t="str">
        <f>IF(LEN(D25)&gt;0,ASISTENCIA!F24,"")</f>
        <v/>
      </c>
      <c r="F25" s="180"/>
      <c r="G25" s="180"/>
      <c r="H25" s="180"/>
      <c r="I25" s="180"/>
      <c r="J25" s="180"/>
      <c r="K25" s="168" t="str">
        <f t="shared" si="2"/>
        <v/>
      </c>
      <c r="L25" s="185"/>
      <c r="M25" s="168"/>
      <c r="N25" s="168" t="str">
        <f t="shared" si="3"/>
        <v>#ERROR!</v>
      </c>
      <c r="O25" s="168" t="str">
        <f>IF(AND(LEN($D25)&gt;0,SUMIF($F$13:$J$13,O$13,$F25:$J25)&gt;0,ASISTENCIA!I24&lt;&gt;"X",ASISTENCIA!I24&lt;&gt;"L",ASISTENCIA!I24&lt;&gt;"J",ASISTENCIA!I24&lt;&gt;"V",ASISTENCIA!I24&lt;&gt;"F",ASISTENCIA!I24&lt;&gt;""),SUMIF($F$13:$J$13,O$13,$F25:$J25),"")</f>
        <v/>
      </c>
      <c r="P25" s="168" t="str">
        <f>IF(AND(LEN($D25)&gt;0,SUMIF($F$13:$J$13,P$13,$F25:$J25)&gt;0,ASISTENCIA!J24&lt;&gt;"X",ASISTENCIA!J24&lt;&gt;"L",ASISTENCIA!J24&lt;&gt;"J",ASISTENCIA!J24&lt;&gt;"V",ASISTENCIA!J24&lt;&gt;"F",ASISTENCIA!J24&lt;&gt;""),SUMIF($F$13:$J$13,P$13,$F25:$J25),"")</f>
        <v/>
      </c>
      <c r="Q25" s="168" t="str">
        <f>IF(AND(LEN($D25)&gt;0,SUMIF($F$13:$J$13,Q$13,$F25:$J25)&gt;0,ASISTENCIA!K24&lt;&gt;"X",ASISTENCIA!K24&lt;&gt;"L",ASISTENCIA!K24&lt;&gt;"J",ASISTENCIA!K24&lt;&gt;"V",ASISTENCIA!K24&lt;&gt;"F",ASISTENCIA!K24&lt;&gt;""),SUMIF($F$13:$J$13,Q$13,$F25:$J25),"")</f>
        <v/>
      </c>
      <c r="R25" s="168" t="str">
        <f>IF(AND(LEN($D25)&gt;0,SUMIF($F$13:$J$13,R$13,$F25:$J25)&gt;0,ASISTENCIA!L24&lt;&gt;"X",ASISTENCIA!L24&lt;&gt;"L",ASISTENCIA!L24&lt;&gt;"J",ASISTENCIA!L24&lt;&gt;"V",ASISTENCIA!L24&lt;&gt;"F",ASISTENCIA!L24&lt;&gt;""),SUMIF($F$13:$J$13,R$13,$F25:$J25),"")</f>
        <v/>
      </c>
      <c r="S25" s="168" t="str">
        <f>IF(AND(LEN($D25)&gt;0,SUMIF($F$13:$J$13,S$13,$F25:$J25)&gt;0,ASISTENCIA!M24&lt;&gt;"X",ASISTENCIA!M24&lt;&gt;"L",ASISTENCIA!M24&lt;&gt;"J",ASISTENCIA!M24&lt;&gt;"V",ASISTENCIA!M24&lt;&gt;"F",ASISTENCIA!M24&lt;&gt;""),SUMIF($F$13:$J$13,S$13,$F25:$J25),"")</f>
        <v/>
      </c>
      <c r="T25" s="168" t="str">
        <f>IF(AND(LEN($D25)&gt;0,SUMIF($F$13:$J$13,T$13,$F25:$J25)&gt;0,ASISTENCIA!N24&lt;&gt;"X",ASISTENCIA!N24&lt;&gt;"L",ASISTENCIA!N24&lt;&gt;"J",ASISTENCIA!N24&lt;&gt;"V",ASISTENCIA!N24&lt;&gt;"F",ASISTENCIA!N24&lt;&gt;""),SUMIF($F$13:$J$13,T$13,$F25:$J25),"")</f>
        <v/>
      </c>
      <c r="U25" s="168" t="str">
        <f>IF(AND(LEN($D25)&gt;0,SUMIF($F$13:$J$13,U$13,$F25:$J25)&gt;0,ASISTENCIA!O24&lt;&gt;"X",ASISTENCIA!O24&lt;&gt;"L",ASISTENCIA!O24&lt;&gt;"J",ASISTENCIA!O24&lt;&gt;"V",ASISTENCIA!O24&lt;&gt;"F",ASISTENCIA!O24&lt;&gt;""),SUMIF($F$13:$J$13,U$13,$F25:$J25),"")</f>
        <v/>
      </c>
      <c r="V25" s="168" t="str">
        <f>IF(AND(LEN($D25)&gt;0,SUMIF($F$13:$J$13,V$13,$F25:$J25)&gt;0,ASISTENCIA!P24&lt;&gt;"X",ASISTENCIA!P24&lt;&gt;"L",ASISTENCIA!P24&lt;&gt;"J",ASISTENCIA!P24&lt;&gt;"V",ASISTENCIA!P24&lt;&gt;"F",ASISTENCIA!P24&lt;&gt;""),SUMIF($F$13:$J$13,V$13,$F25:$J25),"")</f>
        <v/>
      </c>
      <c r="W25" s="168" t="str">
        <f>IF(AND(LEN($D25)&gt;0,SUMIF($F$13:$J$13,W$13,$F25:$J25)&gt;0,ASISTENCIA!Q24&lt;&gt;"X",ASISTENCIA!Q24&lt;&gt;"L",ASISTENCIA!Q24&lt;&gt;"J",ASISTENCIA!Q24&lt;&gt;"V",ASISTENCIA!Q24&lt;&gt;"F",ASISTENCIA!Q24&lt;&gt;""),SUMIF($F$13:$J$13,W$13,$F25:$J25),"")</f>
        <v/>
      </c>
      <c r="X25" s="168" t="str">
        <f>IF(AND(LEN($D25)&gt;0,SUMIF($F$13:$J$13,X$13,$F25:$J25)&gt;0,ASISTENCIA!R24&lt;&gt;"X",ASISTENCIA!R24&lt;&gt;"L",ASISTENCIA!R24&lt;&gt;"J",ASISTENCIA!R24&lt;&gt;"V",ASISTENCIA!R24&lt;&gt;"F",ASISTENCIA!R24&lt;&gt;""),SUMIF($F$13:$J$13,X$13,$F25:$J25),"")</f>
        <v/>
      </c>
      <c r="Y25" s="168" t="str">
        <f>IF(AND(LEN($D25)&gt;0,SUMIF($F$13:$J$13,Y$13,$F25:$J25)&gt;0,ASISTENCIA!S24&lt;&gt;"X",ASISTENCIA!S24&lt;&gt;"L",ASISTENCIA!S24&lt;&gt;"J",ASISTENCIA!S24&lt;&gt;"V",ASISTENCIA!S24&lt;&gt;"F",ASISTENCIA!S24&lt;&gt;""),SUMIF($F$13:$J$13,Y$13,$F25:$J25),"")</f>
        <v/>
      </c>
      <c r="Z25" s="168" t="str">
        <f>IF(AND(LEN($D25)&gt;0,SUMIF($F$13:$J$13,Z$13,$F25:$J25)&gt;0,ASISTENCIA!T24&lt;&gt;"X",ASISTENCIA!T24&lt;&gt;"L",ASISTENCIA!T24&lt;&gt;"J",ASISTENCIA!T24&lt;&gt;"V",ASISTENCIA!T24&lt;&gt;"F",ASISTENCIA!T24&lt;&gt;""),SUMIF($F$13:$J$13,Z$13,$F25:$J25),"")</f>
        <v/>
      </c>
      <c r="AA25" s="168" t="str">
        <f>IF(AND(LEN($D25)&gt;0,SUMIF($F$13:$J$13,AA$13,$F25:$J25)&gt;0,ASISTENCIA!U24&lt;&gt;"X",ASISTENCIA!U24&lt;&gt;"L",ASISTENCIA!U24&lt;&gt;"J",ASISTENCIA!U24&lt;&gt;"V",ASISTENCIA!U24&lt;&gt;"F",ASISTENCIA!U24&lt;&gt;""),SUMIF($F$13:$J$13,AA$13,$F25:$J25),"")</f>
        <v/>
      </c>
      <c r="AB25" s="168" t="str">
        <f>IF(AND(LEN($D25)&gt;0,SUMIF($F$13:$J$13,AB$13,$F25:$J25)&gt;0,ASISTENCIA!V24&lt;&gt;"X",ASISTENCIA!V24&lt;&gt;"L",ASISTENCIA!V24&lt;&gt;"J",ASISTENCIA!V24&lt;&gt;"V",ASISTENCIA!V24&lt;&gt;"F",ASISTENCIA!V24&lt;&gt;""),SUMIF($F$13:$J$13,AB$13,$F25:$J25),"")</f>
        <v/>
      </c>
      <c r="AC25" s="168" t="str">
        <f>IF(AND(LEN($D25)&gt;0,SUMIF($F$13:$J$13,AC$13,$F25:$J25)&gt;0,ASISTENCIA!W24&lt;&gt;"X",ASISTENCIA!W24&lt;&gt;"L",ASISTENCIA!W24&lt;&gt;"J",ASISTENCIA!W24&lt;&gt;"V",ASISTENCIA!W24&lt;&gt;"F",ASISTENCIA!W24&lt;&gt;""),SUMIF($F$13:$J$13,AC$13,$F25:$J25),"")</f>
        <v/>
      </c>
      <c r="AD25" s="168" t="str">
        <f>IF(AND(LEN($D25)&gt;0,SUMIF($F$13:$J$13,AD$13,$F25:$J25)&gt;0,ASISTENCIA!X24&lt;&gt;"X",ASISTENCIA!X24&lt;&gt;"L",ASISTENCIA!X24&lt;&gt;"J",ASISTENCIA!X24&lt;&gt;"V",ASISTENCIA!X24&lt;&gt;"F",ASISTENCIA!X24&lt;&gt;""),SUMIF($F$13:$J$13,AD$13,$F25:$J25),"")</f>
        <v/>
      </c>
      <c r="AE25" s="168" t="str">
        <f>IF(AND(LEN($D25)&gt;0,SUMIF($F$13:$J$13,AE$13,$F25:$J25)&gt;0,ASISTENCIA!Y24&lt;&gt;"X",ASISTENCIA!Y24&lt;&gt;"L",ASISTENCIA!Y24&lt;&gt;"J",ASISTENCIA!Y24&lt;&gt;"V",ASISTENCIA!Y24&lt;&gt;"F",ASISTENCIA!Y24&lt;&gt;""),SUMIF($F$13:$J$13,AE$13,$F25:$J25),"")</f>
        <v/>
      </c>
      <c r="AF25" s="168" t="str">
        <f>IF(AND(LEN($D25)&gt;0,SUMIF($F$13:$J$13,AF$13,$F25:$J25)&gt;0,ASISTENCIA!Z24&lt;&gt;"X",ASISTENCIA!Z24&lt;&gt;"L",ASISTENCIA!Z24&lt;&gt;"J",ASISTENCIA!Z24&lt;&gt;"V",ASISTENCIA!Z24&lt;&gt;"F",ASISTENCIA!Z24&lt;&gt;""),SUMIF($F$13:$J$13,AF$13,$F25:$J25),"")</f>
        <v/>
      </c>
      <c r="AG25" s="168" t="str">
        <f>IF(AND(LEN($D25)&gt;0,SUMIF($F$13:$J$13,AG$13,$F25:$J25)&gt;0,ASISTENCIA!AA24&lt;&gt;"X",ASISTENCIA!AA24&lt;&gt;"L",ASISTENCIA!AA24&lt;&gt;"J",ASISTENCIA!AA24&lt;&gt;"V",ASISTENCIA!AA24&lt;&gt;"F",ASISTENCIA!AA24&lt;&gt;""),SUMIF($F$13:$J$13,AG$13,$F25:$J25),"")</f>
        <v/>
      </c>
      <c r="AH25" s="168" t="str">
        <f>IF(AND(LEN($D25)&gt;0,SUMIF($F$13:$J$13,AH$13,$F25:$J25)&gt;0,ASISTENCIA!AB24&lt;&gt;"X",ASISTENCIA!AB24&lt;&gt;"L",ASISTENCIA!AB24&lt;&gt;"J",ASISTENCIA!AB24&lt;&gt;"V",ASISTENCIA!AB24&lt;&gt;"F",ASISTENCIA!AB24&lt;&gt;""),SUMIF($F$13:$J$13,AH$13,$F25:$J25),"")</f>
        <v/>
      </c>
      <c r="AI25" s="168" t="str">
        <f>IF(AND(LEN($D25)&gt;0,SUMIF($F$13:$J$13,AI$13,$F25:$J25)&gt;0,ASISTENCIA!AC24&lt;&gt;"X",ASISTENCIA!AC24&lt;&gt;"L",ASISTENCIA!AC24&lt;&gt;"J",ASISTENCIA!AC24&lt;&gt;"V",ASISTENCIA!AC24&lt;&gt;"F",ASISTENCIA!AC24&lt;&gt;""),SUMIF($F$13:$J$13,AI$13,$F25:$J25),"")</f>
        <v/>
      </c>
      <c r="AJ25" s="168" t="str">
        <f>IF(AND(LEN($D25)&gt;0,SUMIF($F$13:$J$13,AJ$13,$F25:$J25)&gt;0,ASISTENCIA!AD24&lt;&gt;"X",ASISTENCIA!AD24&lt;&gt;"L",ASISTENCIA!AD24&lt;&gt;"J",ASISTENCIA!AD24&lt;&gt;"V",ASISTENCIA!AD24&lt;&gt;"F",ASISTENCIA!AD24&lt;&gt;""),SUMIF($F$13:$J$13,AJ$13,$F25:$J25),"")</f>
        <v/>
      </c>
      <c r="AK25" s="168" t="str">
        <f>IF(AND(LEN($D25)&gt;0,SUMIF($F$13:$J$13,AK$13,$F25:$J25)&gt;0,ASISTENCIA!AE24&lt;&gt;"X",ASISTENCIA!AE24&lt;&gt;"L",ASISTENCIA!AE24&lt;&gt;"J",ASISTENCIA!AE24&lt;&gt;"V",ASISTENCIA!AE24&lt;&gt;"F",ASISTENCIA!AE24&lt;&gt;""),SUMIF($F$13:$J$13,AK$13,$F25:$J25),"")</f>
        <v/>
      </c>
      <c r="AL25" s="168" t="str">
        <f>IF(AND(LEN($D25)&gt;0,SUMIF($F$13:$J$13,AL$13,$F25:$J25)&gt;0,ASISTENCIA!AF24&lt;&gt;"X",ASISTENCIA!AF24&lt;&gt;"L",ASISTENCIA!AF24&lt;&gt;"J",ASISTENCIA!AF24&lt;&gt;"V",ASISTENCIA!AF24&lt;&gt;"F",ASISTENCIA!AF24&lt;&gt;""),SUMIF($F$13:$J$13,AL$13,$F25:$J25),"")</f>
        <v/>
      </c>
      <c r="AM25" s="168" t="str">
        <f>IF(AND(LEN($D25)&gt;0,SUMIF($F$13:$J$13,AM$13,$F25:$J25)&gt;0,ASISTENCIA!AG24&lt;&gt;"X",ASISTENCIA!AG24&lt;&gt;"L",ASISTENCIA!AG24&lt;&gt;"J",ASISTENCIA!AG24&lt;&gt;"V",ASISTENCIA!AG24&lt;&gt;"F",ASISTENCIA!AG24&lt;&gt;""),SUMIF($F$13:$J$13,AM$13,$F25:$J25),"")</f>
        <v/>
      </c>
      <c r="AN25" s="168" t="str">
        <f>IF(AND(LEN($D25)&gt;0,SUMIF($F$13:$J$13,AN$13,$F25:$J25)&gt;0,ASISTENCIA!AH24&lt;&gt;"X",ASISTENCIA!AH24&lt;&gt;"L",ASISTENCIA!AH24&lt;&gt;"J",ASISTENCIA!AH24&lt;&gt;"V",ASISTENCIA!AH24&lt;&gt;"F",ASISTENCIA!AH24&lt;&gt;""),SUMIF($F$13:$J$13,AN$13,$F25:$J25),"")</f>
        <v/>
      </c>
      <c r="AO25" s="168" t="str">
        <f>IF(AND(LEN($D25)&gt;0,SUMIF($F$13:$J$13,AO$13,$F25:$J25)&gt;0,ASISTENCIA!AI24&lt;&gt;"X",ASISTENCIA!AI24&lt;&gt;"L",ASISTENCIA!AI24&lt;&gt;"J",ASISTENCIA!AI24&lt;&gt;"V",ASISTENCIA!AI24&lt;&gt;"F",ASISTENCIA!AI24&lt;&gt;""),SUMIF($F$13:$J$13,AO$13,$F25:$J25),"")</f>
        <v/>
      </c>
      <c r="AP25" s="168" t="str">
        <f>IF(AND(LEN($D25)&gt;0,SUMIF($F$13:$J$13,AP$13,$F25:$J25)&gt;0,ASISTENCIA!AJ24&lt;&gt;"X",ASISTENCIA!AJ24&lt;&gt;"L",ASISTENCIA!AJ24&lt;&gt;"J",ASISTENCIA!AJ24&lt;&gt;"V",ASISTENCIA!AJ24&lt;&gt;"F",ASISTENCIA!AJ24&lt;&gt;""),SUMIF($F$13:$J$13,AP$13,$F25:$J25),"")</f>
        <v/>
      </c>
      <c r="AQ25" s="168" t="str">
        <f>IF(AND(LEN($D25)&gt;0,SUMIF($F$13:$J$13,AQ$13,$F25:$J25)&gt;0,ASISTENCIA!AK24&lt;&gt;"X",ASISTENCIA!AK24&lt;&gt;"L",ASISTENCIA!AK24&lt;&gt;"J",ASISTENCIA!AK24&lt;&gt;"V",ASISTENCIA!AK24&lt;&gt;"F",ASISTENCIA!AK24&lt;&gt;""),SUMIF($F$13:$J$13,AQ$13,$F25:$J25),"")</f>
        <v/>
      </c>
      <c r="AR25" s="168" t="str">
        <f>IF(AND(LEN($D25)&gt;0,SUMIF($F$13:$J$13,AR$13,$F25:$J25)&gt;0,ASISTENCIA!AL24&lt;&gt;"X",ASISTENCIA!AL24&lt;&gt;"L",ASISTENCIA!AL24&lt;&gt;"J",ASISTENCIA!AL24&lt;&gt;"V",ASISTENCIA!AL24&lt;&gt;"F",ASISTENCIA!AL24&lt;&gt;""),SUMIF($F$13:$J$13,AR$13,$F25:$J25),"")</f>
        <v/>
      </c>
      <c r="AS25" s="168" t="str">
        <f>IF(AND(LEN($D25)&gt;0,SUMIF($F$13:$J$13,AS$13,$F25:$J25)&gt;0,ASISTENCIA!AM24&lt;&gt;"X",ASISTENCIA!AM24&lt;&gt;"L",ASISTENCIA!AM24&lt;&gt;"J",ASISTENCIA!AM24&lt;&gt;"V",ASISTENCIA!AM24&lt;&gt;"F",ASISTENCIA!AM24&lt;&gt;""),SUMIF($F$13:$J$13,AS$13,$F25:$J25),"")</f>
        <v/>
      </c>
      <c r="AT25" s="182" t="str">
        <f t="shared" si="4"/>
        <v/>
      </c>
      <c r="AU25" s="157"/>
      <c r="AV25" s="157"/>
      <c r="AW25" s="157"/>
      <c r="AX25" s="168" t="str">
        <f>IF(AND(LEN($D25)&gt;0,SUMIF($F$13:$J$13,AX$13,$F25:$J25)&gt;0,ASISTENCIA!AU24&lt;&gt;"X",ASISTENCIA!AU24&lt;&gt;"L",ASISTENCIA!AU24&lt;&gt;"J",ASISTENCIA!AU24&lt;&gt;"F"),SUMIF($F$13:$J$13,AX$13,$F25:$J25),"")</f>
        <v/>
      </c>
      <c r="AY25" s="168" t="str">
        <f>IF(AND(LEN($D25)&gt;0,SUMIF($F$13:$J$13,AY$13,$F25:$J25)&gt;0,ASISTENCIA!AV24&lt;&gt;"X",ASISTENCIA!AV24&lt;&gt;"L",ASISTENCIA!AV24&lt;&gt;"J",ASISTENCIA!AV24&lt;&gt;"F"),SUMIF($F$13:$J$13,AY$13,$F25:$J25),"")</f>
        <v/>
      </c>
      <c r="AZ25" s="168" t="str">
        <f>IF(AND(LEN($D25)&gt;0,SUMIF($F$13:$J$13,AZ$13,$F25:$J25)&gt;0,ASISTENCIA!AW24&lt;&gt;"X",ASISTENCIA!AW24&lt;&gt;"L",ASISTENCIA!AW24&lt;&gt;"J",ASISTENCIA!AW24&lt;&gt;"F"),SUMIF($F$13:$J$13,AZ$13,$F25:$J25),"")</f>
        <v/>
      </c>
      <c r="BA25" s="168" t="str">
        <f>IF(AND(LEN($D25)&gt;0,SUMIF($F$13:$J$13,BA$13,$F25:$J25)&gt;0,ASISTENCIA!AX24&lt;&gt;"X",ASISTENCIA!AX24&lt;&gt;"L",ASISTENCIA!AX24&lt;&gt;"J",ASISTENCIA!AX24&lt;&gt;"F"),SUMIF($F$13:$J$13,BA$13,$F25:$J25),"")</f>
        <v/>
      </c>
      <c r="BB25" s="168" t="str">
        <f>IF(AND(LEN($D25)&gt;0,SUMIF($F$13:$J$13,BB$13,$F25:$J25)&gt;0,ASISTENCIA!AY24&lt;&gt;"X",ASISTENCIA!AY24&lt;&gt;"L",ASISTENCIA!AY24&lt;&gt;"J",ASISTENCIA!AY24&lt;&gt;"F"),SUMIF($F$13:$J$13,BB$13,$F25:$J25),"")</f>
        <v/>
      </c>
      <c r="BC25" s="168" t="str">
        <f>IF(AND(LEN($D25)&gt;0,SUMIF($F$13:$J$13,BC$13,$F25:$J25)&gt;0,ASISTENCIA!AZ24&lt;&gt;"X",ASISTENCIA!AZ24&lt;&gt;"L",ASISTENCIA!AZ24&lt;&gt;"J",ASISTENCIA!AZ24&lt;&gt;"F"),SUMIF($F$13:$J$13,BC$13,$F25:$J25),"")</f>
        <v/>
      </c>
      <c r="BD25" s="168" t="str">
        <f>IF(AND(LEN($D25)&gt;0,SUMIF($F$13:$J$13,BD$13,$F25:$J25)&gt;0,ASISTENCIA!BA24&lt;&gt;"X",ASISTENCIA!BA24&lt;&gt;"L",ASISTENCIA!BA24&lt;&gt;"J",ASISTENCIA!BA24&lt;&gt;"F"),SUMIF($F$13:$J$13,BD$13,$F25:$J25),"")</f>
        <v/>
      </c>
      <c r="BE25" s="168" t="str">
        <f>IF(AND(LEN($D25)&gt;0,SUMIF($F$13:$J$13,BE$13,$F25:$J25)&gt;0,ASISTENCIA!BB24&lt;&gt;"X",ASISTENCIA!BB24&lt;&gt;"L",ASISTENCIA!BB24&lt;&gt;"J",ASISTENCIA!BB24&lt;&gt;"F"),SUMIF($F$13:$J$13,BE$13,$F25:$J25),"")</f>
        <v/>
      </c>
      <c r="BF25" s="168" t="str">
        <f>IF(AND(LEN($D25)&gt;0,SUMIF($F$13:$J$13,BF$13,$F25:$J25)&gt;0,ASISTENCIA!#REF!&lt;&gt;"X",ASISTENCIA!#REF!&lt;&gt;"L",ASISTENCIA!#REF!&lt;&gt;"J",ASISTENCIA!#REF!&lt;&gt;"F"),SUMIF($F$13:$J$13,BF$13,$F25:$J25),"")</f>
        <v>#ERROR!</v>
      </c>
      <c r="BG25" s="168" t="str">
        <f>IF(AND(LEN($D25)&gt;0,SUMIF($F$13:$J$13,BG$13,$F25:$J25)&gt;0,ASISTENCIA!#REF!&lt;&gt;"X",ASISTENCIA!#REF!&lt;&gt;"L",ASISTENCIA!#REF!&lt;&gt;"J",ASISTENCIA!#REF!&lt;&gt;"F"),SUMIF($F$13:$J$13,BG$13,$F25:$J25),"")</f>
        <v>#ERROR!</v>
      </c>
      <c r="BH25" s="168" t="str">
        <f>IF(AND(LEN($D25)&gt;0,SUMIF($F$13:$J$13,BH$13,$F25:$J25)&gt;0,ASISTENCIA!BE24&lt;&gt;"X",ASISTENCIA!BE24&lt;&gt;"L",ASISTENCIA!BE24&lt;&gt;"J",ASISTENCIA!BE24&lt;&gt;"F"),SUMIF($F$13:$J$13,BH$13,$F25:$J25),"")</f>
        <v/>
      </c>
      <c r="BI25" s="168" t="str">
        <f>IF(AND(LEN($D25)&gt;0,SUMIF($F$13:$J$13,BI$13,$F25:$J25)&gt;0,ASISTENCIA!BF24&lt;&gt;"X",ASISTENCIA!BF24&lt;&gt;"L",ASISTENCIA!BF24&lt;&gt;"J",ASISTENCIA!BF24&lt;&gt;"F"),SUMIF($F$13:$J$13,BI$13,$F25:$J25),"")</f>
        <v/>
      </c>
      <c r="BJ25" s="168" t="str">
        <f>IF(AND(LEN($D25)&gt;0,SUMIF($F$13:$J$13,BJ$13,$F25:$J25)&gt;0,ASISTENCIA!BG24&lt;&gt;"X",ASISTENCIA!BG24&lt;&gt;"L",ASISTENCIA!BG24&lt;&gt;"J",ASISTENCIA!BG24&lt;&gt;"F"),SUMIF($F$13:$J$13,BJ$13,$F25:$J25),"")</f>
        <v/>
      </c>
      <c r="BK25" s="168" t="str">
        <f>IF(AND(LEN($D25)&gt;0,SUMIF($F$13:$J$13,BK$13,$F25:$J25)&gt;0,ASISTENCIA!BH24&lt;&gt;"X",ASISTENCIA!BH24&lt;&gt;"L",ASISTENCIA!BH24&lt;&gt;"J",ASISTENCIA!BH24&lt;&gt;"F"),SUMIF($F$13:$J$13,BK$13,$F25:$J25),"")</f>
        <v/>
      </c>
      <c r="BL25" s="168" t="str">
        <f>IF(AND(LEN($D25)&gt;0,SUMIF($F$13:$J$13,BL$13,$F25:$J25)&gt;0,ASISTENCIA!BI24&lt;&gt;"X",ASISTENCIA!BI24&lt;&gt;"L",ASISTENCIA!BI24&lt;&gt;"J",ASISTENCIA!BI24&lt;&gt;"F"),SUMIF($F$13:$J$13,BL$13,$F25:$J25),"")</f>
        <v/>
      </c>
      <c r="BM25" s="168" t="str">
        <f>IF(AND(LEN($D25)&gt;0,SUMIF($F$13:$J$13,BM$13,$F25:$J25)&gt;0,ASISTENCIA!BJ24&lt;&gt;"X",ASISTENCIA!BJ24&lt;&gt;"L",ASISTENCIA!BJ24&lt;&gt;"J",ASISTENCIA!BJ24&lt;&gt;"F"),SUMIF($F$13:$J$13,BM$13,$F25:$J25),"")</f>
        <v/>
      </c>
      <c r="BN25" s="168" t="str">
        <f>IF(AND(LEN($D25)&gt;0,SUMIF($F$13:$J$13,BN$13,$F25:$J25)&gt;0,ASISTENCIA!BK24&lt;&gt;"X",ASISTENCIA!BK24&lt;&gt;"L",ASISTENCIA!BK24&lt;&gt;"J",ASISTENCIA!BK24&lt;&gt;"F"),SUMIF($F$13:$J$13,BN$13,$F25:$J25),"")</f>
        <v/>
      </c>
      <c r="BO25" s="168" t="str">
        <f>IF(AND(LEN($D25)&gt;0,SUMIF($F$13:$J$13,BO$13,$F25:$J25)&gt;0,ASISTENCIA!BL24&lt;&gt;"X",ASISTENCIA!BL24&lt;&gt;"L",ASISTENCIA!BL24&lt;&gt;"J",ASISTENCIA!BL24&lt;&gt;"F"),SUMIF($F$13:$J$13,BO$13,$F25:$J25),"")</f>
        <v/>
      </c>
      <c r="BP25" s="168" t="str">
        <f>IF(AND(LEN($D25)&gt;0,SUMIF($F$13:$J$13,BP$13,$F25:$J25)&gt;0,ASISTENCIA!BM24&lt;&gt;"X",ASISTENCIA!BM24&lt;&gt;"L",ASISTENCIA!BM24&lt;&gt;"J",ASISTENCIA!BM24&lt;&gt;"F"),SUMIF($F$13:$J$13,BP$13,$F25:$J25),"")</f>
        <v/>
      </c>
      <c r="BQ25" s="168" t="str">
        <f>IF(AND(LEN($D25)&gt;0,SUMIF($F$13:$J$13,BQ$13,$F25:$J25)&gt;0,ASISTENCIA!BN24&lt;&gt;"X",ASISTENCIA!BN24&lt;&gt;"L",ASISTENCIA!BN24&lt;&gt;"J",ASISTENCIA!BN24&lt;&gt;"F"),SUMIF($F$13:$J$13,BQ$13,$F25:$J25),"")</f>
        <v/>
      </c>
      <c r="BR25" s="168" t="str">
        <f>IF(AND(LEN($D25)&gt;0,SUMIF($F$13:$J$13,BR$13,$F25:$J25)&gt;0,ASISTENCIA!BO24&lt;&gt;"X",ASISTENCIA!BO24&lt;&gt;"L",ASISTENCIA!BO24&lt;&gt;"J",ASISTENCIA!BO24&lt;&gt;"F"),SUMIF($F$13:$J$13,BR$13,$F25:$J25),"")</f>
        <v/>
      </c>
      <c r="BS25" s="168" t="str">
        <f>IF(AND(LEN($D25)&gt;0,SUMIF($F$13:$J$13,BS$13,$F25:$J25)&gt;0,ASISTENCIA!BP24&lt;&gt;"X",ASISTENCIA!BP24&lt;&gt;"L",ASISTENCIA!BP24&lt;&gt;"J",ASISTENCIA!BP24&lt;&gt;"F"),SUMIF($F$13:$J$13,BS$13,$F25:$J25),"")</f>
        <v/>
      </c>
      <c r="BT25" s="168" t="str">
        <f>IF(AND(LEN($D25)&gt;0,SUMIF($F$13:$J$13,BT$13,$F25:$J25)&gt;0,ASISTENCIA!BQ24&lt;&gt;"X",ASISTENCIA!BQ24&lt;&gt;"L",ASISTENCIA!BQ24&lt;&gt;"J",ASISTENCIA!BQ24&lt;&gt;"F"),SUMIF($F$13:$J$13,BT$13,$F25:$J25),"")</f>
        <v/>
      </c>
      <c r="BU25" s="168" t="str">
        <f>IF(AND(LEN($D25)&gt;0,SUMIF($F$13:$J$13,BU$13,$F25:$J25)&gt;0,ASISTENCIA!BR24&lt;&gt;"X",ASISTENCIA!BR24&lt;&gt;"L",ASISTENCIA!BR24&lt;&gt;"J",ASISTENCIA!BR24&lt;&gt;"F"),SUMIF($F$13:$J$13,BU$13,$F25:$J25),"")</f>
        <v/>
      </c>
      <c r="BV25" s="168" t="str">
        <f>IF(AND(LEN($D25)&gt;0,SUMIF($F$13:$J$13,BV$13,$F25:$J25)&gt;0,ASISTENCIA!BS24&lt;&gt;"X",ASISTENCIA!BS24&lt;&gt;"L",ASISTENCIA!BS24&lt;&gt;"J",ASISTENCIA!BS24&lt;&gt;"F"),SUMIF($F$13:$J$13,BV$13,$F25:$J25),"")</f>
        <v/>
      </c>
      <c r="BW25" s="168" t="str">
        <f>IF(AND(LEN($D25)&gt;0,SUMIF($F$13:$J$13,BW$13,$F25:$J25)&gt;0,ASISTENCIA!BT24&lt;&gt;"X",ASISTENCIA!BT24&lt;&gt;"L",ASISTENCIA!BT24&lt;&gt;"J",ASISTENCIA!BT24&lt;&gt;"F"),SUMIF($F$13:$J$13,BW$13,$F25:$J25),"")</f>
        <v/>
      </c>
      <c r="BX25" s="168" t="str">
        <f>IF(AND(LEN($D25)&gt;0,SUMIF($F$13:$J$13,BX$13,$F25:$J25)&gt;0,ASISTENCIA!BU24&lt;&gt;"X",ASISTENCIA!BU24&lt;&gt;"L",ASISTENCIA!BU24&lt;&gt;"J",ASISTENCIA!BU24&lt;&gt;"F"),SUMIF($F$13:$J$13,BX$13,$F25:$J25),"")</f>
        <v/>
      </c>
      <c r="BY25" s="168" t="str">
        <f>IF(AND(LEN($D25)&gt;0,SUMIF($F$13:$J$13,BY$13,$F25:$J25)&gt;0,ASISTENCIA!BV24&lt;&gt;"X",ASISTENCIA!BV24&lt;&gt;"L",ASISTENCIA!BV24&lt;&gt;"J",ASISTENCIA!BV24&lt;&gt;"F"),SUMIF($F$13:$J$13,BY$13,$F25:$J25),"")</f>
        <v/>
      </c>
      <c r="BZ25" s="168" t="str">
        <f>IF(AND(LEN($D25)&gt;0,SUMIF($F$13:$J$13,BZ$13,$F25:$J25)&gt;0,ASISTENCIA!BW24&lt;&gt;"X",ASISTENCIA!BW24&lt;&gt;"L",ASISTENCIA!BW24&lt;&gt;"J",ASISTENCIA!BW24&lt;&gt;"F"),SUMIF($F$13:$J$13,BZ$13,$F25:$J25),"")</f>
        <v/>
      </c>
      <c r="CA25" s="168" t="str">
        <f>IF(AND(LEN($D25)&gt;0,SUMIF($F$13:$J$13,CA$13,$F25:$J25)&gt;0,ASISTENCIA!BX24&lt;&gt;"X",ASISTENCIA!BX24&lt;&gt;"L",ASISTENCIA!BX24&lt;&gt;"J",ASISTENCIA!BX24&lt;&gt;"F"),SUMIF($F$13:$J$13,CA$13,$F25:$J25),"")</f>
        <v/>
      </c>
      <c r="CB25" s="168" t="str">
        <f>IF(AND(LEN($D25)&gt;0,SUMIF($F$13:$J$13,CB$13,$F25:$J25)&gt;0,ASISTENCIA!BY24&lt;&gt;"X",ASISTENCIA!BY24&lt;&gt;"L",ASISTENCIA!BY24&lt;&gt;"J",ASISTENCIA!BY24&lt;&gt;"F"),SUMIF($F$13:$J$13,CB$13,$F25:$J25),"")</f>
        <v/>
      </c>
      <c r="CC25" s="182" t="str">
        <f t="shared" si="5"/>
        <v>#ERROR!</v>
      </c>
      <c r="CD25" s="157"/>
    </row>
    <row r="26" ht="12.75" customHeight="1">
      <c r="A26" s="132" t="str">
        <f t="shared" si="6"/>
        <v/>
      </c>
      <c r="B26" s="183" t="str">
        <f>IF(LEN(C26)&gt;0,VLOOKUP($O$4,DATA!$A$1:$S$1,2,FALSE),"")</f>
        <v/>
      </c>
      <c r="C26" s="184" t="str">
        <f t="shared" si="1"/>
        <v/>
      </c>
      <c r="D26" s="136" t="str">
        <f>IF(LEN(ASISTENCIA!E25)&gt;0,ASISTENCIA!E25,"")</f>
        <v/>
      </c>
      <c r="E26" s="167" t="str">
        <f>IF(LEN(D26)&gt;0,ASISTENCIA!F25,"")</f>
        <v/>
      </c>
      <c r="F26" s="180"/>
      <c r="G26" s="180"/>
      <c r="H26" s="180"/>
      <c r="I26" s="180"/>
      <c r="J26" s="180"/>
      <c r="K26" s="168" t="str">
        <f t="shared" si="2"/>
        <v/>
      </c>
      <c r="L26" s="185"/>
      <c r="M26" s="168"/>
      <c r="N26" s="168" t="str">
        <f t="shared" si="3"/>
        <v>#ERROR!</v>
      </c>
      <c r="O26" s="168" t="str">
        <f>IF(AND(LEN($D26)&gt;0,SUMIF($F$13:$J$13,O$13,$F26:$J26)&gt;0,ASISTENCIA!I25&lt;&gt;"X",ASISTENCIA!I25&lt;&gt;"L",ASISTENCIA!I25&lt;&gt;"J",ASISTENCIA!I25&lt;&gt;"V",ASISTENCIA!I25&lt;&gt;"F",ASISTENCIA!I25&lt;&gt;""),SUMIF($F$13:$J$13,O$13,$F26:$J26),"")</f>
        <v/>
      </c>
      <c r="P26" s="168" t="str">
        <f>IF(AND(LEN($D26)&gt;0,SUMIF($F$13:$J$13,P$13,$F26:$J26)&gt;0,ASISTENCIA!J25&lt;&gt;"X",ASISTENCIA!J25&lt;&gt;"L",ASISTENCIA!J25&lt;&gt;"J",ASISTENCIA!J25&lt;&gt;"V",ASISTENCIA!J25&lt;&gt;"F",ASISTENCIA!J25&lt;&gt;""),SUMIF($F$13:$J$13,P$13,$F26:$J26),"")</f>
        <v/>
      </c>
      <c r="Q26" s="168" t="str">
        <f>IF(AND(LEN($D26)&gt;0,SUMIF($F$13:$J$13,Q$13,$F26:$J26)&gt;0,ASISTENCIA!K25&lt;&gt;"X",ASISTENCIA!K25&lt;&gt;"L",ASISTENCIA!K25&lt;&gt;"J",ASISTENCIA!K25&lt;&gt;"V",ASISTENCIA!K25&lt;&gt;"F",ASISTENCIA!K25&lt;&gt;""),SUMIF($F$13:$J$13,Q$13,$F26:$J26),"")</f>
        <v/>
      </c>
      <c r="R26" s="168" t="str">
        <f>IF(AND(LEN($D26)&gt;0,SUMIF($F$13:$J$13,R$13,$F26:$J26)&gt;0,ASISTENCIA!L25&lt;&gt;"X",ASISTENCIA!L25&lt;&gt;"L",ASISTENCIA!L25&lt;&gt;"J",ASISTENCIA!L25&lt;&gt;"V",ASISTENCIA!L25&lt;&gt;"F",ASISTENCIA!L25&lt;&gt;""),SUMIF($F$13:$J$13,R$13,$F26:$J26),"")</f>
        <v/>
      </c>
      <c r="S26" s="168" t="str">
        <f>IF(AND(LEN($D26)&gt;0,SUMIF($F$13:$J$13,S$13,$F26:$J26)&gt;0,ASISTENCIA!M25&lt;&gt;"X",ASISTENCIA!M25&lt;&gt;"L",ASISTENCIA!M25&lt;&gt;"J",ASISTENCIA!M25&lt;&gt;"V",ASISTENCIA!M25&lt;&gt;"F",ASISTENCIA!M25&lt;&gt;""),SUMIF($F$13:$J$13,S$13,$F26:$J26),"")</f>
        <v/>
      </c>
      <c r="T26" s="168" t="str">
        <f>IF(AND(LEN($D26)&gt;0,SUMIF($F$13:$J$13,T$13,$F26:$J26)&gt;0,ASISTENCIA!N25&lt;&gt;"X",ASISTENCIA!N25&lt;&gt;"L",ASISTENCIA!N25&lt;&gt;"J",ASISTENCIA!N25&lt;&gt;"V",ASISTENCIA!N25&lt;&gt;"F",ASISTENCIA!N25&lt;&gt;""),SUMIF($F$13:$J$13,T$13,$F26:$J26),"")</f>
        <v/>
      </c>
      <c r="U26" s="168" t="str">
        <f>IF(AND(LEN($D26)&gt;0,SUMIF($F$13:$J$13,U$13,$F26:$J26)&gt;0,ASISTENCIA!O25&lt;&gt;"X",ASISTENCIA!O25&lt;&gt;"L",ASISTENCIA!O25&lt;&gt;"J",ASISTENCIA!O25&lt;&gt;"V",ASISTENCIA!O25&lt;&gt;"F",ASISTENCIA!O25&lt;&gt;""),SUMIF($F$13:$J$13,U$13,$F26:$J26),"")</f>
        <v/>
      </c>
      <c r="V26" s="168" t="str">
        <f>IF(AND(LEN($D26)&gt;0,SUMIF($F$13:$J$13,V$13,$F26:$J26)&gt;0,ASISTENCIA!P25&lt;&gt;"X",ASISTENCIA!P25&lt;&gt;"L",ASISTENCIA!P25&lt;&gt;"J",ASISTENCIA!P25&lt;&gt;"V",ASISTENCIA!P25&lt;&gt;"F",ASISTENCIA!P25&lt;&gt;""),SUMIF($F$13:$J$13,V$13,$F26:$J26),"")</f>
        <v/>
      </c>
      <c r="W26" s="168" t="str">
        <f>IF(AND(LEN($D26)&gt;0,SUMIF($F$13:$J$13,W$13,$F26:$J26)&gt;0,ASISTENCIA!Q25&lt;&gt;"X",ASISTENCIA!Q25&lt;&gt;"L",ASISTENCIA!Q25&lt;&gt;"J",ASISTENCIA!Q25&lt;&gt;"V",ASISTENCIA!Q25&lt;&gt;"F",ASISTENCIA!Q25&lt;&gt;""),SUMIF($F$13:$J$13,W$13,$F26:$J26),"")</f>
        <v/>
      </c>
      <c r="X26" s="168" t="str">
        <f>IF(AND(LEN($D26)&gt;0,SUMIF($F$13:$J$13,X$13,$F26:$J26)&gt;0,ASISTENCIA!R25&lt;&gt;"X",ASISTENCIA!R25&lt;&gt;"L",ASISTENCIA!R25&lt;&gt;"J",ASISTENCIA!R25&lt;&gt;"V",ASISTENCIA!R25&lt;&gt;"F",ASISTENCIA!R25&lt;&gt;""),SUMIF($F$13:$J$13,X$13,$F26:$J26),"")</f>
        <v/>
      </c>
      <c r="Y26" s="168" t="str">
        <f>IF(AND(LEN($D26)&gt;0,SUMIF($F$13:$J$13,Y$13,$F26:$J26)&gt;0,ASISTENCIA!S25&lt;&gt;"X",ASISTENCIA!S25&lt;&gt;"L",ASISTENCIA!S25&lt;&gt;"J",ASISTENCIA!S25&lt;&gt;"V",ASISTENCIA!S25&lt;&gt;"F",ASISTENCIA!S25&lt;&gt;""),SUMIF($F$13:$J$13,Y$13,$F26:$J26),"")</f>
        <v/>
      </c>
      <c r="Z26" s="168" t="str">
        <f>IF(AND(LEN($D26)&gt;0,SUMIF($F$13:$J$13,Z$13,$F26:$J26)&gt;0,ASISTENCIA!T25&lt;&gt;"X",ASISTENCIA!T25&lt;&gt;"L",ASISTENCIA!T25&lt;&gt;"J",ASISTENCIA!T25&lt;&gt;"V",ASISTENCIA!T25&lt;&gt;"F",ASISTENCIA!T25&lt;&gt;""),SUMIF($F$13:$J$13,Z$13,$F26:$J26),"")</f>
        <v/>
      </c>
      <c r="AA26" s="168" t="str">
        <f>IF(AND(LEN($D26)&gt;0,SUMIF($F$13:$J$13,AA$13,$F26:$J26)&gt;0,ASISTENCIA!U25&lt;&gt;"X",ASISTENCIA!U25&lt;&gt;"L",ASISTENCIA!U25&lt;&gt;"J",ASISTENCIA!U25&lt;&gt;"V",ASISTENCIA!U25&lt;&gt;"F",ASISTENCIA!U25&lt;&gt;""),SUMIF($F$13:$J$13,AA$13,$F26:$J26),"")</f>
        <v/>
      </c>
      <c r="AB26" s="168" t="str">
        <f>IF(AND(LEN($D26)&gt;0,SUMIF($F$13:$J$13,AB$13,$F26:$J26)&gt;0,ASISTENCIA!V25&lt;&gt;"X",ASISTENCIA!V25&lt;&gt;"L",ASISTENCIA!V25&lt;&gt;"J",ASISTENCIA!V25&lt;&gt;"V",ASISTENCIA!V25&lt;&gt;"F",ASISTENCIA!V25&lt;&gt;""),SUMIF($F$13:$J$13,AB$13,$F26:$J26),"")</f>
        <v/>
      </c>
      <c r="AC26" s="168" t="str">
        <f>IF(AND(LEN($D26)&gt;0,SUMIF($F$13:$J$13,AC$13,$F26:$J26)&gt;0,ASISTENCIA!W25&lt;&gt;"X",ASISTENCIA!W25&lt;&gt;"L",ASISTENCIA!W25&lt;&gt;"J",ASISTENCIA!W25&lt;&gt;"V",ASISTENCIA!W25&lt;&gt;"F",ASISTENCIA!W25&lt;&gt;""),SUMIF($F$13:$J$13,AC$13,$F26:$J26),"")</f>
        <v/>
      </c>
      <c r="AD26" s="168" t="str">
        <f>IF(AND(LEN($D26)&gt;0,SUMIF($F$13:$J$13,AD$13,$F26:$J26)&gt;0,ASISTENCIA!X25&lt;&gt;"X",ASISTENCIA!X25&lt;&gt;"L",ASISTENCIA!X25&lt;&gt;"J",ASISTENCIA!X25&lt;&gt;"V",ASISTENCIA!X25&lt;&gt;"F",ASISTENCIA!X25&lt;&gt;""),SUMIF($F$13:$J$13,AD$13,$F26:$J26),"")</f>
        <v/>
      </c>
      <c r="AE26" s="168" t="str">
        <f>IF(AND(LEN($D26)&gt;0,SUMIF($F$13:$J$13,AE$13,$F26:$J26)&gt;0,ASISTENCIA!Y25&lt;&gt;"X",ASISTENCIA!Y25&lt;&gt;"L",ASISTENCIA!Y25&lt;&gt;"J",ASISTENCIA!Y25&lt;&gt;"V",ASISTENCIA!Y25&lt;&gt;"F",ASISTENCIA!Y25&lt;&gt;""),SUMIF($F$13:$J$13,AE$13,$F26:$J26),"")</f>
        <v/>
      </c>
      <c r="AF26" s="168" t="str">
        <f>IF(AND(LEN($D26)&gt;0,SUMIF($F$13:$J$13,AF$13,$F26:$J26)&gt;0,ASISTENCIA!Z25&lt;&gt;"X",ASISTENCIA!Z25&lt;&gt;"L",ASISTENCIA!Z25&lt;&gt;"J",ASISTENCIA!Z25&lt;&gt;"V",ASISTENCIA!Z25&lt;&gt;"F",ASISTENCIA!Z25&lt;&gt;""),SUMIF($F$13:$J$13,AF$13,$F26:$J26),"")</f>
        <v/>
      </c>
      <c r="AG26" s="168" t="str">
        <f>IF(AND(LEN($D26)&gt;0,SUMIF($F$13:$J$13,AG$13,$F26:$J26)&gt;0,ASISTENCIA!AA25&lt;&gt;"X",ASISTENCIA!AA25&lt;&gt;"L",ASISTENCIA!AA25&lt;&gt;"J",ASISTENCIA!AA25&lt;&gt;"V",ASISTENCIA!AA25&lt;&gt;"F",ASISTENCIA!AA25&lt;&gt;""),SUMIF($F$13:$J$13,AG$13,$F26:$J26),"")</f>
        <v/>
      </c>
      <c r="AH26" s="168" t="str">
        <f>IF(AND(LEN($D26)&gt;0,SUMIF($F$13:$J$13,AH$13,$F26:$J26)&gt;0,ASISTENCIA!AB25&lt;&gt;"X",ASISTENCIA!AB25&lt;&gt;"L",ASISTENCIA!AB25&lt;&gt;"J",ASISTENCIA!AB25&lt;&gt;"V",ASISTENCIA!AB25&lt;&gt;"F",ASISTENCIA!AB25&lt;&gt;""),SUMIF($F$13:$J$13,AH$13,$F26:$J26),"")</f>
        <v/>
      </c>
      <c r="AI26" s="168" t="str">
        <f>IF(AND(LEN($D26)&gt;0,SUMIF($F$13:$J$13,AI$13,$F26:$J26)&gt;0,ASISTENCIA!AC25&lt;&gt;"X",ASISTENCIA!AC25&lt;&gt;"L",ASISTENCIA!AC25&lt;&gt;"J",ASISTENCIA!AC25&lt;&gt;"V",ASISTENCIA!AC25&lt;&gt;"F",ASISTENCIA!AC25&lt;&gt;""),SUMIF($F$13:$J$13,AI$13,$F26:$J26),"")</f>
        <v/>
      </c>
      <c r="AJ26" s="168" t="str">
        <f>IF(AND(LEN($D26)&gt;0,SUMIF($F$13:$J$13,AJ$13,$F26:$J26)&gt;0,ASISTENCIA!AD25&lt;&gt;"X",ASISTENCIA!AD25&lt;&gt;"L",ASISTENCIA!AD25&lt;&gt;"J",ASISTENCIA!AD25&lt;&gt;"V",ASISTENCIA!AD25&lt;&gt;"F",ASISTENCIA!AD25&lt;&gt;""),SUMIF($F$13:$J$13,AJ$13,$F26:$J26),"")</f>
        <v/>
      </c>
      <c r="AK26" s="168" t="str">
        <f>IF(AND(LEN($D26)&gt;0,SUMIF($F$13:$J$13,AK$13,$F26:$J26)&gt;0,ASISTENCIA!AE25&lt;&gt;"X",ASISTENCIA!AE25&lt;&gt;"L",ASISTENCIA!AE25&lt;&gt;"J",ASISTENCIA!AE25&lt;&gt;"V",ASISTENCIA!AE25&lt;&gt;"F",ASISTENCIA!AE25&lt;&gt;""),SUMIF($F$13:$J$13,AK$13,$F26:$J26),"")</f>
        <v/>
      </c>
      <c r="AL26" s="168" t="str">
        <f>IF(AND(LEN($D26)&gt;0,SUMIF($F$13:$J$13,AL$13,$F26:$J26)&gt;0,ASISTENCIA!AF25&lt;&gt;"X",ASISTENCIA!AF25&lt;&gt;"L",ASISTENCIA!AF25&lt;&gt;"J",ASISTENCIA!AF25&lt;&gt;"V",ASISTENCIA!AF25&lt;&gt;"F",ASISTENCIA!AF25&lt;&gt;""),SUMIF($F$13:$J$13,AL$13,$F26:$J26),"")</f>
        <v/>
      </c>
      <c r="AM26" s="168" t="str">
        <f>IF(AND(LEN($D26)&gt;0,SUMIF($F$13:$J$13,AM$13,$F26:$J26)&gt;0,ASISTENCIA!AG25&lt;&gt;"X",ASISTENCIA!AG25&lt;&gt;"L",ASISTENCIA!AG25&lt;&gt;"J",ASISTENCIA!AG25&lt;&gt;"V",ASISTENCIA!AG25&lt;&gt;"F",ASISTENCIA!AG25&lt;&gt;""),SUMIF($F$13:$J$13,AM$13,$F26:$J26),"")</f>
        <v/>
      </c>
      <c r="AN26" s="168" t="str">
        <f>IF(AND(LEN($D26)&gt;0,SUMIF($F$13:$J$13,AN$13,$F26:$J26)&gt;0,ASISTENCIA!AH25&lt;&gt;"X",ASISTENCIA!AH25&lt;&gt;"L",ASISTENCIA!AH25&lt;&gt;"J",ASISTENCIA!AH25&lt;&gt;"V",ASISTENCIA!AH25&lt;&gt;"F",ASISTENCIA!AH25&lt;&gt;""),SUMIF($F$13:$J$13,AN$13,$F26:$J26),"")</f>
        <v/>
      </c>
      <c r="AO26" s="168" t="str">
        <f>IF(AND(LEN($D26)&gt;0,SUMIF($F$13:$J$13,AO$13,$F26:$J26)&gt;0,ASISTENCIA!AI25&lt;&gt;"X",ASISTENCIA!AI25&lt;&gt;"L",ASISTENCIA!AI25&lt;&gt;"J",ASISTENCIA!AI25&lt;&gt;"V",ASISTENCIA!AI25&lt;&gt;"F",ASISTENCIA!AI25&lt;&gt;""),SUMIF($F$13:$J$13,AO$13,$F26:$J26),"")</f>
        <v/>
      </c>
      <c r="AP26" s="168" t="str">
        <f>IF(AND(LEN($D26)&gt;0,SUMIF($F$13:$J$13,AP$13,$F26:$J26)&gt;0,ASISTENCIA!AJ25&lt;&gt;"X",ASISTENCIA!AJ25&lt;&gt;"L",ASISTENCIA!AJ25&lt;&gt;"J",ASISTENCIA!AJ25&lt;&gt;"V",ASISTENCIA!AJ25&lt;&gt;"F",ASISTENCIA!AJ25&lt;&gt;""),SUMIF($F$13:$J$13,AP$13,$F26:$J26),"")</f>
        <v/>
      </c>
      <c r="AQ26" s="168" t="str">
        <f>IF(AND(LEN($D26)&gt;0,SUMIF($F$13:$J$13,AQ$13,$F26:$J26)&gt;0,ASISTENCIA!AK25&lt;&gt;"X",ASISTENCIA!AK25&lt;&gt;"L",ASISTENCIA!AK25&lt;&gt;"J",ASISTENCIA!AK25&lt;&gt;"V",ASISTENCIA!AK25&lt;&gt;"F",ASISTENCIA!AK25&lt;&gt;""),SUMIF($F$13:$J$13,AQ$13,$F26:$J26),"")</f>
        <v/>
      </c>
      <c r="AR26" s="168" t="str">
        <f>IF(AND(LEN($D26)&gt;0,SUMIF($F$13:$J$13,AR$13,$F26:$J26)&gt;0,ASISTENCIA!AL25&lt;&gt;"X",ASISTENCIA!AL25&lt;&gt;"L",ASISTENCIA!AL25&lt;&gt;"J",ASISTENCIA!AL25&lt;&gt;"V",ASISTENCIA!AL25&lt;&gt;"F",ASISTENCIA!AL25&lt;&gt;""),SUMIF($F$13:$J$13,AR$13,$F26:$J26),"")</f>
        <v/>
      </c>
      <c r="AS26" s="168" t="str">
        <f>IF(AND(LEN($D26)&gt;0,SUMIF($F$13:$J$13,AS$13,$F26:$J26)&gt;0,ASISTENCIA!AM25&lt;&gt;"X",ASISTENCIA!AM25&lt;&gt;"L",ASISTENCIA!AM25&lt;&gt;"J",ASISTENCIA!AM25&lt;&gt;"V",ASISTENCIA!AM25&lt;&gt;"F",ASISTENCIA!AM25&lt;&gt;""),SUMIF($F$13:$J$13,AS$13,$F26:$J26),"")</f>
        <v/>
      </c>
      <c r="AT26" s="182" t="str">
        <f t="shared" si="4"/>
        <v/>
      </c>
      <c r="AU26" s="157"/>
      <c r="AV26" s="157"/>
      <c r="AW26" s="157"/>
      <c r="AX26" s="168" t="str">
        <f>IF(AND(LEN($D26)&gt;0,SUMIF($F$13:$J$13,AX$13,$F26:$J26)&gt;0,ASISTENCIA!AU25&lt;&gt;"X",ASISTENCIA!AU25&lt;&gt;"L",ASISTENCIA!AU25&lt;&gt;"J",ASISTENCIA!AU25&lt;&gt;"F"),SUMIF($F$13:$J$13,AX$13,$F26:$J26),"")</f>
        <v/>
      </c>
      <c r="AY26" s="168" t="str">
        <f>IF(AND(LEN($D26)&gt;0,SUMIF($F$13:$J$13,AY$13,$F26:$J26)&gt;0,ASISTENCIA!AV25&lt;&gt;"X",ASISTENCIA!AV25&lt;&gt;"L",ASISTENCIA!AV25&lt;&gt;"J",ASISTENCIA!AV25&lt;&gt;"F"),SUMIF($F$13:$J$13,AY$13,$F26:$J26),"")</f>
        <v/>
      </c>
      <c r="AZ26" s="168" t="str">
        <f>IF(AND(LEN($D26)&gt;0,SUMIF($F$13:$J$13,AZ$13,$F26:$J26)&gt;0,ASISTENCIA!AW25&lt;&gt;"X",ASISTENCIA!AW25&lt;&gt;"L",ASISTENCIA!AW25&lt;&gt;"J",ASISTENCIA!AW25&lt;&gt;"F"),SUMIF($F$13:$J$13,AZ$13,$F26:$J26),"")</f>
        <v/>
      </c>
      <c r="BA26" s="168" t="str">
        <f>IF(AND(LEN($D26)&gt;0,SUMIF($F$13:$J$13,BA$13,$F26:$J26)&gt;0,ASISTENCIA!AX25&lt;&gt;"X",ASISTENCIA!AX25&lt;&gt;"L",ASISTENCIA!AX25&lt;&gt;"J",ASISTENCIA!AX25&lt;&gt;"F"),SUMIF($F$13:$J$13,BA$13,$F26:$J26),"")</f>
        <v/>
      </c>
      <c r="BB26" s="168" t="str">
        <f>IF(AND(LEN($D26)&gt;0,SUMIF($F$13:$J$13,BB$13,$F26:$J26)&gt;0,ASISTENCIA!AY25&lt;&gt;"X",ASISTENCIA!AY25&lt;&gt;"L",ASISTENCIA!AY25&lt;&gt;"J",ASISTENCIA!AY25&lt;&gt;"F"),SUMIF($F$13:$J$13,BB$13,$F26:$J26),"")</f>
        <v/>
      </c>
      <c r="BC26" s="168" t="str">
        <f>IF(AND(LEN($D26)&gt;0,SUMIF($F$13:$J$13,BC$13,$F26:$J26)&gt;0,ASISTENCIA!AZ25&lt;&gt;"X",ASISTENCIA!AZ25&lt;&gt;"L",ASISTENCIA!AZ25&lt;&gt;"J",ASISTENCIA!AZ25&lt;&gt;"F"),SUMIF($F$13:$J$13,BC$13,$F26:$J26),"")</f>
        <v/>
      </c>
      <c r="BD26" s="168" t="str">
        <f>IF(AND(LEN($D26)&gt;0,SUMIF($F$13:$J$13,BD$13,$F26:$J26)&gt;0,ASISTENCIA!BA25&lt;&gt;"X",ASISTENCIA!BA25&lt;&gt;"L",ASISTENCIA!BA25&lt;&gt;"J",ASISTENCIA!BA25&lt;&gt;"F"),SUMIF($F$13:$J$13,BD$13,$F26:$J26),"")</f>
        <v/>
      </c>
      <c r="BE26" s="168" t="str">
        <f>IF(AND(LEN($D26)&gt;0,SUMIF($F$13:$J$13,BE$13,$F26:$J26)&gt;0,ASISTENCIA!BB25&lt;&gt;"X",ASISTENCIA!BB25&lt;&gt;"L",ASISTENCIA!BB25&lt;&gt;"J",ASISTENCIA!BB25&lt;&gt;"F"),SUMIF($F$13:$J$13,BE$13,$F26:$J26),"")</f>
        <v/>
      </c>
      <c r="BF26" s="168" t="str">
        <f>IF(AND(LEN($D26)&gt;0,SUMIF($F$13:$J$13,BF$13,$F26:$J26)&gt;0,ASISTENCIA!#REF!&lt;&gt;"X",ASISTENCIA!#REF!&lt;&gt;"L",ASISTENCIA!#REF!&lt;&gt;"J",ASISTENCIA!#REF!&lt;&gt;"F"),SUMIF($F$13:$J$13,BF$13,$F26:$J26),"")</f>
        <v>#ERROR!</v>
      </c>
      <c r="BG26" s="168" t="str">
        <f>IF(AND(LEN($D26)&gt;0,SUMIF($F$13:$J$13,BG$13,$F26:$J26)&gt;0,ASISTENCIA!#REF!&lt;&gt;"X",ASISTENCIA!#REF!&lt;&gt;"L",ASISTENCIA!#REF!&lt;&gt;"J",ASISTENCIA!#REF!&lt;&gt;"F"),SUMIF($F$13:$J$13,BG$13,$F26:$J26),"")</f>
        <v>#ERROR!</v>
      </c>
      <c r="BH26" s="168" t="str">
        <f>IF(AND(LEN($D26)&gt;0,SUMIF($F$13:$J$13,BH$13,$F26:$J26)&gt;0,ASISTENCIA!BE25&lt;&gt;"X",ASISTENCIA!BE25&lt;&gt;"L",ASISTENCIA!BE25&lt;&gt;"J",ASISTENCIA!BE25&lt;&gt;"F"),SUMIF($F$13:$J$13,BH$13,$F26:$J26),"")</f>
        <v/>
      </c>
      <c r="BI26" s="168" t="str">
        <f>IF(AND(LEN($D26)&gt;0,SUMIF($F$13:$J$13,BI$13,$F26:$J26)&gt;0,ASISTENCIA!BF25&lt;&gt;"X",ASISTENCIA!BF25&lt;&gt;"L",ASISTENCIA!BF25&lt;&gt;"J",ASISTENCIA!BF25&lt;&gt;"F"),SUMIF($F$13:$J$13,BI$13,$F26:$J26),"")</f>
        <v/>
      </c>
      <c r="BJ26" s="168" t="str">
        <f>IF(AND(LEN($D26)&gt;0,SUMIF($F$13:$J$13,BJ$13,$F26:$J26)&gt;0,ASISTENCIA!BG25&lt;&gt;"X",ASISTENCIA!BG25&lt;&gt;"L",ASISTENCIA!BG25&lt;&gt;"J",ASISTENCIA!BG25&lt;&gt;"F"),SUMIF($F$13:$J$13,BJ$13,$F26:$J26),"")</f>
        <v/>
      </c>
      <c r="BK26" s="168" t="str">
        <f>IF(AND(LEN($D26)&gt;0,SUMIF($F$13:$J$13,BK$13,$F26:$J26)&gt;0,ASISTENCIA!BH25&lt;&gt;"X",ASISTENCIA!BH25&lt;&gt;"L",ASISTENCIA!BH25&lt;&gt;"J",ASISTENCIA!BH25&lt;&gt;"F"),SUMIF($F$13:$J$13,BK$13,$F26:$J26),"")</f>
        <v/>
      </c>
      <c r="BL26" s="168" t="str">
        <f>IF(AND(LEN($D26)&gt;0,SUMIF($F$13:$J$13,BL$13,$F26:$J26)&gt;0,ASISTENCIA!BI25&lt;&gt;"X",ASISTENCIA!BI25&lt;&gt;"L",ASISTENCIA!BI25&lt;&gt;"J",ASISTENCIA!BI25&lt;&gt;"F"),SUMIF($F$13:$J$13,BL$13,$F26:$J26),"")</f>
        <v/>
      </c>
      <c r="BM26" s="168" t="str">
        <f>IF(AND(LEN($D26)&gt;0,SUMIF($F$13:$J$13,BM$13,$F26:$J26)&gt;0,ASISTENCIA!BJ25&lt;&gt;"X",ASISTENCIA!BJ25&lt;&gt;"L",ASISTENCIA!BJ25&lt;&gt;"J",ASISTENCIA!BJ25&lt;&gt;"F"),SUMIF($F$13:$J$13,BM$13,$F26:$J26),"")</f>
        <v/>
      </c>
      <c r="BN26" s="168" t="str">
        <f>IF(AND(LEN($D26)&gt;0,SUMIF($F$13:$J$13,BN$13,$F26:$J26)&gt;0,ASISTENCIA!BK25&lt;&gt;"X",ASISTENCIA!BK25&lt;&gt;"L",ASISTENCIA!BK25&lt;&gt;"J",ASISTENCIA!BK25&lt;&gt;"F"),SUMIF($F$13:$J$13,BN$13,$F26:$J26),"")</f>
        <v/>
      </c>
      <c r="BO26" s="168" t="str">
        <f>IF(AND(LEN($D26)&gt;0,SUMIF($F$13:$J$13,BO$13,$F26:$J26)&gt;0,ASISTENCIA!BL25&lt;&gt;"X",ASISTENCIA!BL25&lt;&gt;"L",ASISTENCIA!BL25&lt;&gt;"J",ASISTENCIA!BL25&lt;&gt;"F"),SUMIF($F$13:$J$13,BO$13,$F26:$J26),"")</f>
        <v/>
      </c>
      <c r="BP26" s="168" t="str">
        <f>IF(AND(LEN($D26)&gt;0,SUMIF($F$13:$J$13,BP$13,$F26:$J26)&gt;0,ASISTENCIA!BM25&lt;&gt;"X",ASISTENCIA!BM25&lt;&gt;"L",ASISTENCIA!BM25&lt;&gt;"J",ASISTENCIA!BM25&lt;&gt;"F"),SUMIF($F$13:$J$13,BP$13,$F26:$J26),"")</f>
        <v/>
      </c>
      <c r="BQ26" s="168" t="str">
        <f>IF(AND(LEN($D26)&gt;0,SUMIF($F$13:$J$13,BQ$13,$F26:$J26)&gt;0,ASISTENCIA!BN25&lt;&gt;"X",ASISTENCIA!BN25&lt;&gt;"L",ASISTENCIA!BN25&lt;&gt;"J",ASISTENCIA!BN25&lt;&gt;"F"),SUMIF($F$13:$J$13,BQ$13,$F26:$J26),"")</f>
        <v/>
      </c>
      <c r="BR26" s="168" t="str">
        <f>IF(AND(LEN($D26)&gt;0,SUMIF($F$13:$J$13,BR$13,$F26:$J26)&gt;0,ASISTENCIA!BO25&lt;&gt;"X",ASISTENCIA!BO25&lt;&gt;"L",ASISTENCIA!BO25&lt;&gt;"J",ASISTENCIA!BO25&lt;&gt;"F"),SUMIF($F$13:$J$13,BR$13,$F26:$J26),"")</f>
        <v/>
      </c>
      <c r="BS26" s="168" t="str">
        <f>IF(AND(LEN($D26)&gt;0,SUMIF($F$13:$J$13,BS$13,$F26:$J26)&gt;0,ASISTENCIA!BP25&lt;&gt;"X",ASISTENCIA!BP25&lt;&gt;"L",ASISTENCIA!BP25&lt;&gt;"J",ASISTENCIA!BP25&lt;&gt;"F"),SUMIF($F$13:$J$13,BS$13,$F26:$J26),"")</f>
        <v/>
      </c>
      <c r="BT26" s="168" t="str">
        <f>IF(AND(LEN($D26)&gt;0,SUMIF($F$13:$J$13,BT$13,$F26:$J26)&gt;0,ASISTENCIA!BQ25&lt;&gt;"X",ASISTENCIA!BQ25&lt;&gt;"L",ASISTENCIA!BQ25&lt;&gt;"J",ASISTENCIA!BQ25&lt;&gt;"F"),SUMIF($F$13:$J$13,BT$13,$F26:$J26),"")</f>
        <v/>
      </c>
      <c r="BU26" s="168" t="str">
        <f>IF(AND(LEN($D26)&gt;0,SUMIF($F$13:$J$13,BU$13,$F26:$J26)&gt;0,ASISTENCIA!BR25&lt;&gt;"X",ASISTENCIA!BR25&lt;&gt;"L",ASISTENCIA!BR25&lt;&gt;"J",ASISTENCIA!BR25&lt;&gt;"F"),SUMIF($F$13:$J$13,BU$13,$F26:$J26),"")</f>
        <v/>
      </c>
      <c r="BV26" s="168" t="str">
        <f>IF(AND(LEN($D26)&gt;0,SUMIF($F$13:$J$13,BV$13,$F26:$J26)&gt;0,ASISTENCIA!BS25&lt;&gt;"X",ASISTENCIA!BS25&lt;&gt;"L",ASISTENCIA!BS25&lt;&gt;"J",ASISTENCIA!BS25&lt;&gt;"F"),SUMIF($F$13:$J$13,BV$13,$F26:$J26),"")</f>
        <v/>
      </c>
      <c r="BW26" s="168" t="str">
        <f>IF(AND(LEN($D26)&gt;0,SUMIF($F$13:$J$13,BW$13,$F26:$J26)&gt;0,ASISTENCIA!BT25&lt;&gt;"X",ASISTENCIA!BT25&lt;&gt;"L",ASISTENCIA!BT25&lt;&gt;"J",ASISTENCIA!BT25&lt;&gt;"F"),SUMIF($F$13:$J$13,BW$13,$F26:$J26),"")</f>
        <v/>
      </c>
      <c r="BX26" s="168" t="str">
        <f>IF(AND(LEN($D26)&gt;0,SUMIF($F$13:$J$13,BX$13,$F26:$J26)&gt;0,ASISTENCIA!BU25&lt;&gt;"X",ASISTENCIA!BU25&lt;&gt;"L",ASISTENCIA!BU25&lt;&gt;"J",ASISTENCIA!BU25&lt;&gt;"F"),SUMIF($F$13:$J$13,BX$13,$F26:$J26),"")</f>
        <v/>
      </c>
      <c r="BY26" s="168" t="str">
        <f>IF(AND(LEN($D26)&gt;0,SUMIF($F$13:$J$13,BY$13,$F26:$J26)&gt;0,ASISTENCIA!BV25&lt;&gt;"X",ASISTENCIA!BV25&lt;&gt;"L",ASISTENCIA!BV25&lt;&gt;"J",ASISTENCIA!BV25&lt;&gt;"F"),SUMIF($F$13:$J$13,BY$13,$F26:$J26),"")</f>
        <v/>
      </c>
      <c r="BZ26" s="168" t="str">
        <f>IF(AND(LEN($D26)&gt;0,SUMIF($F$13:$J$13,BZ$13,$F26:$J26)&gt;0,ASISTENCIA!BW25&lt;&gt;"X",ASISTENCIA!BW25&lt;&gt;"L",ASISTENCIA!BW25&lt;&gt;"J",ASISTENCIA!BW25&lt;&gt;"F"),SUMIF($F$13:$J$13,BZ$13,$F26:$J26),"")</f>
        <v/>
      </c>
      <c r="CA26" s="168" t="str">
        <f>IF(AND(LEN($D26)&gt;0,SUMIF($F$13:$J$13,CA$13,$F26:$J26)&gt;0,ASISTENCIA!BX25&lt;&gt;"X",ASISTENCIA!BX25&lt;&gt;"L",ASISTENCIA!BX25&lt;&gt;"J",ASISTENCIA!BX25&lt;&gt;"F"),SUMIF($F$13:$J$13,CA$13,$F26:$J26),"")</f>
        <v/>
      </c>
      <c r="CB26" s="168" t="str">
        <f>IF(AND(LEN($D26)&gt;0,SUMIF($F$13:$J$13,CB$13,$F26:$J26)&gt;0,ASISTENCIA!BY25&lt;&gt;"X",ASISTENCIA!BY25&lt;&gt;"L",ASISTENCIA!BY25&lt;&gt;"J",ASISTENCIA!BY25&lt;&gt;"F"),SUMIF($F$13:$J$13,CB$13,$F26:$J26),"")</f>
        <v/>
      </c>
      <c r="CC26" s="182" t="str">
        <f t="shared" si="5"/>
        <v>#ERROR!</v>
      </c>
      <c r="CD26" s="157"/>
    </row>
    <row r="27" ht="12.75" customHeight="1">
      <c r="A27" s="132" t="str">
        <f t="shared" si="6"/>
        <v/>
      </c>
      <c r="B27" s="183" t="str">
        <f>IF(LEN(C27)&gt;0,VLOOKUP($O$4,DATA!$A$1:$S$1,2,FALSE),"")</f>
        <v/>
      </c>
      <c r="C27" s="184" t="str">
        <f t="shared" si="1"/>
        <v/>
      </c>
      <c r="D27" s="136" t="str">
        <f>IF(LEN(ASISTENCIA!E26)&gt;0,ASISTENCIA!E26,"")</f>
        <v/>
      </c>
      <c r="E27" s="167" t="str">
        <f>IF(LEN(D27)&gt;0,ASISTENCIA!F26,"")</f>
        <v/>
      </c>
      <c r="F27" s="180"/>
      <c r="G27" s="180"/>
      <c r="H27" s="180"/>
      <c r="I27" s="180"/>
      <c r="J27" s="180"/>
      <c r="K27" s="168" t="str">
        <f t="shared" si="2"/>
        <v/>
      </c>
      <c r="L27" s="185"/>
      <c r="M27" s="168"/>
      <c r="N27" s="168" t="str">
        <f t="shared" si="3"/>
        <v>#ERROR!</v>
      </c>
      <c r="O27" s="168" t="str">
        <f>IF(AND(LEN($D27)&gt;0,SUMIF($F$13:$J$13,O$13,$F27:$J27)&gt;0,ASISTENCIA!I26&lt;&gt;"X",ASISTENCIA!I26&lt;&gt;"L",ASISTENCIA!I26&lt;&gt;"J",ASISTENCIA!I26&lt;&gt;"V",ASISTENCIA!I26&lt;&gt;"F",ASISTENCIA!I26&lt;&gt;""),SUMIF($F$13:$J$13,O$13,$F27:$J27),"")</f>
        <v/>
      </c>
      <c r="P27" s="168" t="str">
        <f>IF(AND(LEN($D27)&gt;0,SUMIF($F$13:$J$13,P$13,$F27:$J27)&gt;0,ASISTENCIA!J26&lt;&gt;"X",ASISTENCIA!J26&lt;&gt;"L",ASISTENCIA!J26&lt;&gt;"J",ASISTENCIA!J26&lt;&gt;"V",ASISTENCIA!J26&lt;&gt;"F",ASISTENCIA!J26&lt;&gt;""),SUMIF($F$13:$J$13,P$13,$F27:$J27),"")</f>
        <v/>
      </c>
      <c r="Q27" s="168" t="str">
        <f>IF(AND(LEN($D27)&gt;0,SUMIF($F$13:$J$13,Q$13,$F27:$J27)&gt;0,ASISTENCIA!K26&lt;&gt;"X",ASISTENCIA!K26&lt;&gt;"L",ASISTENCIA!K26&lt;&gt;"J",ASISTENCIA!K26&lt;&gt;"V",ASISTENCIA!K26&lt;&gt;"F",ASISTENCIA!K26&lt;&gt;""),SUMIF($F$13:$J$13,Q$13,$F27:$J27),"")</f>
        <v/>
      </c>
      <c r="R27" s="168" t="str">
        <f>IF(AND(LEN($D27)&gt;0,SUMIF($F$13:$J$13,R$13,$F27:$J27)&gt;0,ASISTENCIA!L26&lt;&gt;"X",ASISTENCIA!L26&lt;&gt;"L",ASISTENCIA!L26&lt;&gt;"J",ASISTENCIA!L26&lt;&gt;"V",ASISTENCIA!L26&lt;&gt;"F",ASISTENCIA!L26&lt;&gt;""),SUMIF($F$13:$J$13,R$13,$F27:$J27),"")</f>
        <v/>
      </c>
      <c r="S27" s="168" t="str">
        <f>IF(AND(LEN($D27)&gt;0,SUMIF($F$13:$J$13,S$13,$F27:$J27)&gt;0,ASISTENCIA!M26&lt;&gt;"X",ASISTENCIA!M26&lt;&gt;"L",ASISTENCIA!M26&lt;&gt;"J",ASISTENCIA!M26&lt;&gt;"V",ASISTENCIA!M26&lt;&gt;"F",ASISTENCIA!M26&lt;&gt;""),SUMIF($F$13:$J$13,S$13,$F27:$J27),"")</f>
        <v/>
      </c>
      <c r="T27" s="168" t="str">
        <f>IF(AND(LEN($D27)&gt;0,SUMIF($F$13:$J$13,T$13,$F27:$J27)&gt;0,ASISTENCIA!N26&lt;&gt;"X",ASISTENCIA!N26&lt;&gt;"L",ASISTENCIA!N26&lt;&gt;"J",ASISTENCIA!N26&lt;&gt;"V",ASISTENCIA!N26&lt;&gt;"F",ASISTENCIA!N26&lt;&gt;""),SUMIF($F$13:$J$13,T$13,$F27:$J27),"")</f>
        <v/>
      </c>
      <c r="U27" s="168" t="str">
        <f>IF(AND(LEN($D27)&gt;0,SUMIF($F$13:$J$13,U$13,$F27:$J27)&gt;0,ASISTENCIA!O26&lt;&gt;"X",ASISTENCIA!O26&lt;&gt;"L",ASISTENCIA!O26&lt;&gt;"J",ASISTENCIA!O26&lt;&gt;"V",ASISTENCIA!O26&lt;&gt;"F",ASISTENCIA!O26&lt;&gt;""),SUMIF($F$13:$J$13,U$13,$F27:$J27),"")</f>
        <v/>
      </c>
      <c r="V27" s="168" t="str">
        <f>IF(AND(LEN($D27)&gt;0,SUMIF($F$13:$J$13,V$13,$F27:$J27)&gt;0,ASISTENCIA!P26&lt;&gt;"X",ASISTENCIA!P26&lt;&gt;"L",ASISTENCIA!P26&lt;&gt;"J",ASISTENCIA!P26&lt;&gt;"V",ASISTENCIA!P26&lt;&gt;"F",ASISTENCIA!P26&lt;&gt;""),SUMIF($F$13:$J$13,V$13,$F27:$J27),"")</f>
        <v/>
      </c>
      <c r="W27" s="168" t="str">
        <f>IF(AND(LEN($D27)&gt;0,SUMIF($F$13:$J$13,W$13,$F27:$J27)&gt;0,ASISTENCIA!Q26&lt;&gt;"X",ASISTENCIA!Q26&lt;&gt;"L",ASISTENCIA!Q26&lt;&gt;"J",ASISTENCIA!Q26&lt;&gt;"V",ASISTENCIA!Q26&lt;&gt;"F",ASISTENCIA!Q26&lt;&gt;""),SUMIF($F$13:$J$13,W$13,$F27:$J27),"")</f>
        <v/>
      </c>
      <c r="X27" s="168" t="str">
        <f>IF(AND(LEN($D27)&gt;0,SUMIF($F$13:$J$13,X$13,$F27:$J27)&gt;0,ASISTENCIA!R26&lt;&gt;"X",ASISTENCIA!R26&lt;&gt;"L",ASISTENCIA!R26&lt;&gt;"J",ASISTENCIA!R26&lt;&gt;"V",ASISTENCIA!R26&lt;&gt;"F",ASISTENCIA!R26&lt;&gt;""),SUMIF($F$13:$J$13,X$13,$F27:$J27),"")</f>
        <v/>
      </c>
      <c r="Y27" s="168" t="str">
        <f>IF(AND(LEN($D27)&gt;0,SUMIF($F$13:$J$13,Y$13,$F27:$J27)&gt;0,ASISTENCIA!S26&lt;&gt;"X",ASISTENCIA!S26&lt;&gt;"L",ASISTENCIA!S26&lt;&gt;"J",ASISTENCIA!S26&lt;&gt;"V",ASISTENCIA!S26&lt;&gt;"F",ASISTENCIA!S26&lt;&gt;""),SUMIF($F$13:$J$13,Y$13,$F27:$J27),"")</f>
        <v/>
      </c>
      <c r="Z27" s="168" t="str">
        <f>IF(AND(LEN($D27)&gt;0,SUMIF($F$13:$J$13,Z$13,$F27:$J27)&gt;0,ASISTENCIA!T26&lt;&gt;"X",ASISTENCIA!T26&lt;&gt;"L",ASISTENCIA!T26&lt;&gt;"J",ASISTENCIA!T26&lt;&gt;"V",ASISTENCIA!T26&lt;&gt;"F",ASISTENCIA!T26&lt;&gt;""),SUMIF($F$13:$J$13,Z$13,$F27:$J27),"")</f>
        <v/>
      </c>
      <c r="AA27" s="168" t="str">
        <f>IF(AND(LEN($D27)&gt;0,SUMIF($F$13:$J$13,AA$13,$F27:$J27)&gt;0,ASISTENCIA!U26&lt;&gt;"X",ASISTENCIA!U26&lt;&gt;"L",ASISTENCIA!U26&lt;&gt;"J",ASISTENCIA!U26&lt;&gt;"V",ASISTENCIA!U26&lt;&gt;"F",ASISTENCIA!U26&lt;&gt;""),SUMIF($F$13:$J$13,AA$13,$F27:$J27),"")</f>
        <v/>
      </c>
      <c r="AB27" s="168" t="str">
        <f>IF(AND(LEN($D27)&gt;0,SUMIF($F$13:$J$13,AB$13,$F27:$J27)&gt;0,ASISTENCIA!V26&lt;&gt;"X",ASISTENCIA!V26&lt;&gt;"L",ASISTENCIA!V26&lt;&gt;"J",ASISTENCIA!V26&lt;&gt;"V",ASISTENCIA!V26&lt;&gt;"F",ASISTENCIA!V26&lt;&gt;""),SUMIF($F$13:$J$13,AB$13,$F27:$J27),"")</f>
        <v/>
      </c>
      <c r="AC27" s="168" t="str">
        <f>IF(AND(LEN($D27)&gt;0,SUMIF($F$13:$J$13,AC$13,$F27:$J27)&gt;0,ASISTENCIA!W26&lt;&gt;"X",ASISTENCIA!W26&lt;&gt;"L",ASISTENCIA!W26&lt;&gt;"J",ASISTENCIA!W26&lt;&gt;"V",ASISTENCIA!W26&lt;&gt;"F",ASISTENCIA!W26&lt;&gt;""),SUMIF($F$13:$J$13,AC$13,$F27:$J27),"")</f>
        <v/>
      </c>
      <c r="AD27" s="168" t="str">
        <f>IF(AND(LEN($D27)&gt;0,SUMIF($F$13:$J$13,AD$13,$F27:$J27)&gt;0,ASISTENCIA!X26&lt;&gt;"X",ASISTENCIA!X26&lt;&gt;"L",ASISTENCIA!X26&lt;&gt;"J",ASISTENCIA!X26&lt;&gt;"V",ASISTENCIA!X26&lt;&gt;"F",ASISTENCIA!X26&lt;&gt;""),SUMIF($F$13:$J$13,AD$13,$F27:$J27),"")</f>
        <v/>
      </c>
      <c r="AE27" s="168" t="str">
        <f>IF(AND(LEN($D27)&gt;0,SUMIF($F$13:$J$13,AE$13,$F27:$J27)&gt;0,ASISTENCIA!Y26&lt;&gt;"X",ASISTENCIA!Y26&lt;&gt;"L",ASISTENCIA!Y26&lt;&gt;"J",ASISTENCIA!Y26&lt;&gt;"V",ASISTENCIA!Y26&lt;&gt;"F",ASISTENCIA!Y26&lt;&gt;""),SUMIF($F$13:$J$13,AE$13,$F27:$J27),"")</f>
        <v/>
      </c>
      <c r="AF27" s="168" t="str">
        <f>IF(AND(LEN($D27)&gt;0,SUMIF($F$13:$J$13,AF$13,$F27:$J27)&gt;0,ASISTENCIA!Z26&lt;&gt;"X",ASISTENCIA!Z26&lt;&gt;"L",ASISTENCIA!Z26&lt;&gt;"J",ASISTENCIA!Z26&lt;&gt;"V",ASISTENCIA!Z26&lt;&gt;"F",ASISTENCIA!Z26&lt;&gt;""),SUMIF($F$13:$J$13,AF$13,$F27:$J27),"")</f>
        <v/>
      </c>
      <c r="AG27" s="168" t="str">
        <f>IF(AND(LEN($D27)&gt;0,SUMIF($F$13:$J$13,AG$13,$F27:$J27)&gt;0,ASISTENCIA!AA26&lt;&gt;"X",ASISTENCIA!AA26&lt;&gt;"L",ASISTENCIA!AA26&lt;&gt;"J",ASISTENCIA!AA26&lt;&gt;"V",ASISTENCIA!AA26&lt;&gt;"F",ASISTENCIA!AA26&lt;&gt;""),SUMIF($F$13:$J$13,AG$13,$F27:$J27),"")</f>
        <v/>
      </c>
      <c r="AH27" s="168" t="str">
        <f>IF(AND(LEN($D27)&gt;0,SUMIF($F$13:$J$13,AH$13,$F27:$J27)&gt;0,ASISTENCIA!AB26&lt;&gt;"X",ASISTENCIA!AB26&lt;&gt;"L",ASISTENCIA!AB26&lt;&gt;"J",ASISTENCIA!AB26&lt;&gt;"V",ASISTENCIA!AB26&lt;&gt;"F",ASISTENCIA!AB26&lt;&gt;""),SUMIF($F$13:$J$13,AH$13,$F27:$J27),"")</f>
        <v/>
      </c>
      <c r="AI27" s="168" t="str">
        <f>IF(AND(LEN($D27)&gt;0,SUMIF($F$13:$J$13,AI$13,$F27:$J27)&gt;0,ASISTENCIA!AC26&lt;&gt;"X",ASISTENCIA!AC26&lt;&gt;"L",ASISTENCIA!AC26&lt;&gt;"J",ASISTENCIA!AC26&lt;&gt;"V",ASISTENCIA!AC26&lt;&gt;"F",ASISTENCIA!AC26&lt;&gt;""),SUMIF($F$13:$J$13,AI$13,$F27:$J27),"")</f>
        <v/>
      </c>
      <c r="AJ27" s="168" t="str">
        <f>IF(AND(LEN($D27)&gt;0,SUMIF($F$13:$J$13,AJ$13,$F27:$J27)&gt;0,ASISTENCIA!AD26&lt;&gt;"X",ASISTENCIA!AD26&lt;&gt;"L",ASISTENCIA!AD26&lt;&gt;"J",ASISTENCIA!AD26&lt;&gt;"V",ASISTENCIA!AD26&lt;&gt;"F",ASISTENCIA!AD26&lt;&gt;""),SUMIF($F$13:$J$13,AJ$13,$F27:$J27),"")</f>
        <v/>
      </c>
      <c r="AK27" s="168" t="str">
        <f>IF(AND(LEN($D27)&gt;0,SUMIF($F$13:$J$13,AK$13,$F27:$J27)&gt;0,ASISTENCIA!AE26&lt;&gt;"X",ASISTENCIA!AE26&lt;&gt;"L",ASISTENCIA!AE26&lt;&gt;"J",ASISTENCIA!AE26&lt;&gt;"V",ASISTENCIA!AE26&lt;&gt;"F",ASISTENCIA!AE26&lt;&gt;""),SUMIF($F$13:$J$13,AK$13,$F27:$J27),"")</f>
        <v/>
      </c>
      <c r="AL27" s="168" t="str">
        <f>IF(AND(LEN($D27)&gt;0,SUMIF($F$13:$J$13,AL$13,$F27:$J27)&gt;0,ASISTENCIA!AF26&lt;&gt;"X",ASISTENCIA!AF26&lt;&gt;"L",ASISTENCIA!AF26&lt;&gt;"J",ASISTENCIA!AF26&lt;&gt;"V",ASISTENCIA!AF26&lt;&gt;"F",ASISTENCIA!AF26&lt;&gt;""),SUMIF($F$13:$J$13,AL$13,$F27:$J27),"")</f>
        <v/>
      </c>
      <c r="AM27" s="168" t="str">
        <f>IF(AND(LEN($D27)&gt;0,SUMIF($F$13:$J$13,AM$13,$F27:$J27)&gt;0,ASISTENCIA!AG26&lt;&gt;"X",ASISTENCIA!AG26&lt;&gt;"L",ASISTENCIA!AG26&lt;&gt;"J",ASISTENCIA!AG26&lt;&gt;"V",ASISTENCIA!AG26&lt;&gt;"F",ASISTENCIA!AG26&lt;&gt;""),SUMIF($F$13:$J$13,AM$13,$F27:$J27),"")</f>
        <v/>
      </c>
      <c r="AN27" s="168" t="str">
        <f>IF(AND(LEN($D27)&gt;0,SUMIF($F$13:$J$13,AN$13,$F27:$J27)&gt;0,ASISTENCIA!AH26&lt;&gt;"X",ASISTENCIA!AH26&lt;&gt;"L",ASISTENCIA!AH26&lt;&gt;"J",ASISTENCIA!AH26&lt;&gt;"V",ASISTENCIA!AH26&lt;&gt;"F",ASISTENCIA!AH26&lt;&gt;""),SUMIF($F$13:$J$13,AN$13,$F27:$J27),"")</f>
        <v/>
      </c>
      <c r="AO27" s="168" t="str">
        <f>IF(AND(LEN($D27)&gt;0,SUMIF($F$13:$J$13,AO$13,$F27:$J27)&gt;0,ASISTENCIA!AI26&lt;&gt;"X",ASISTENCIA!AI26&lt;&gt;"L",ASISTENCIA!AI26&lt;&gt;"J",ASISTENCIA!AI26&lt;&gt;"V",ASISTENCIA!AI26&lt;&gt;"F",ASISTENCIA!AI26&lt;&gt;""),SUMIF($F$13:$J$13,AO$13,$F27:$J27),"")</f>
        <v/>
      </c>
      <c r="AP27" s="168" t="str">
        <f>IF(AND(LEN($D27)&gt;0,SUMIF($F$13:$J$13,AP$13,$F27:$J27)&gt;0,ASISTENCIA!AJ26&lt;&gt;"X",ASISTENCIA!AJ26&lt;&gt;"L",ASISTENCIA!AJ26&lt;&gt;"J",ASISTENCIA!AJ26&lt;&gt;"V",ASISTENCIA!AJ26&lt;&gt;"F",ASISTENCIA!AJ26&lt;&gt;""),SUMIF($F$13:$J$13,AP$13,$F27:$J27),"")</f>
        <v/>
      </c>
      <c r="AQ27" s="168" t="str">
        <f>IF(AND(LEN($D27)&gt;0,SUMIF($F$13:$J$13,AQ$13,$F27:$J27)&gt;0,ASISTENCIA!AK26&lt;&gt;"X",ASISTENCIA!AK26&lt;&gt;"L",ASISTENCIA!AK26&lt;&gt;"J",ASISTENCIA!AK26&lt;&gt;"V",ASISTENCIA!AK26&lt;&gt;"F",ASISTENCIA!AK26&lt;&gt;""),SUMIF($F$13:$J$13,AQ$13,$F27:$J27),"")</f>
        <v/>
      </c>
      <c r="AR27" s="168" t="str">
        <f>IF(AND(LEN($D27)&gt;0,SUMIF($F$13:$J$13,AR$13,$F27:$J27)&gt;0,ASISTENCIA!AL26&lt;&gt;"X",ASISTENCIA!AL26&lt;&gt;"L",ASISTENCIA!AL26&lt;&gt;"J",ASISTENCIA!AL26&lt;&gt;"V",ASISTENCIA!AL26&lt;&gt;"F",ASISTENCIA!AL26&lt;&gt;""),SUMIF($F$13:$J$13,AR$13,$F27:$J27),"")</f>
        <v/>
      </c>
      <c r="AS27" s="168" t="str">
        <f>IF(AND(LEN($D27)&gt;0,SUMIF($F$13:$J$13,AS$13,$F27:$J27)&gt;0,ASISTENCIA!AM26&lt;&gt;"X",ASISTENCIA!AM26&lt;&gt;"L",ASISTENCIA!AM26&lt;&gt;"J",ASISTENCIA!AM26&lt;&gt;"V",ASISTENCIA!AM26&lt;&gt;"F",ASISTENCIA!AM26&lt;&gt;""),SUMIF($F$13:$J$13,AS$13,$F27:$J27),"")</f>
        <v/>
      </c>
      <c r="AT27" s="182" t="str">
        <f t="shared" si="4"/>
        <v/>
      </c>
      <c r="AU27" s="157"/>
      <c r="AV27" s="157"/>
      <c r="AW27" s="157"/>
      <c r="AX27" s="168" t="str">
        <f>IF(AND(LEN($D27)&gt;0,SUMIF($F$13:$J$13,AX$13,$F27:$J27)&gt;0,ASISTENCIA!AU26&lt;&gt;"X",ASISTENCIA!AU26&lt;&gt;"L",ASISTENCIA!AU26&lt;&gt;"J",ASISTENCIA!AU26&lt;&gt;"F"),SUMIF($F$13:$J$13,AX$13,$F27:$J27),"")</f>
        <v/>
      </c>
      <c r="AY27" s="168" t="str">
        <f>IF(AND(LEN($D27)&gt;0,SUMIF($F$13:$J$13,AY$13,$F27:$J27)&gt;0,ASISTENCIA!AV26&lt;&gt;"X",ASISTENCIA!AV26&lt;&gt;"L",ASISTENCIA!AV26&lt;&gt;"J",ASISTENCIA!AV26&lt;&gt;"F"),SUMIF($F$13:$J$13,AY$13,$F27:$J27),"")</f>
        <v/>
      </c>
      <c r="AZ27" s="168" t="str">
        <f>IF(AND(LEN($D27)&gt;0,SUMIF($F$13:$J$13,AZ$13,$F27:$J27)&gt;0,ASISTENCIA!AW26&lt;&gt;"X",ASISTENCIA!AW26&lt;&gt;"L",ASISTENCIA!AW26&lt;&gt;"J",ASISTENCIA!AW26&lt;&gt;"F"),SUMIF($F$13:$J$13,AZ$13,$F27:$J27),"")</f>
        <v/>
      </c>
      <c r="BA27" s="168" t="str">
        <f>IF(AND(LEN($D27)&gt;0,SUMIF($F$13:$J$13,BA$13,$F27:$J27)&gt;0,ASISTENCIA!AX26&lt;&gt;"X",ASISTENCIA!AX26&lt;&gt;"L",ASISTENCIA!AX26&lt;&gt;"J",ASISTENCIA!AX26&lt;&gt;"F"),SUMIF($F$13:$J$13,BA$13,$F27:$J27),"")</f>
        <v/>
      </c>
      <c r="BB27" s="168" t="str">
        <f>IF(AND(LEN($D27)&gt;0,SUMIF($F$13:$J$13,BB$13,$F27:$J27)&gt;0,ASISTENCIA!AY26&lt;&gt;"X",ASISTENCIA!AY26&lt;&gt;"L",ASISTENCIA!AY26&lt;&gt;"J",ASISTENCIA!AY26&lt;&gt;"F"),SUMIF($F$13:$J$13,BB$13,$F27:$J27),"")</f>
        <v/>
      </c>
      <c r="BC27" s="168" t="str">
        <f>IF(AND(LEN($D27)&gt;0,SUMIF($F$13:$J$13,BC$13,$F27:$J27)&gt;0,ASISTENCIA!AZ26&lt;&gt;"X",ASISTENCIA!AZ26&lt;&gt;"L",ASISTENCIA!AZ26&lt;&gt;"J",ASISTENCIA!AZ26&lt;&gt;"F"),SUMIF($F$13:$J$13,BC$13,$F27:$J27),"")</f>
        <v/>
      </c>
      <c r="BD27" s="168" t="str">
        <f>IF(AND(LEN($D27)&gt;0,SUMIF($F$13:$J$13,BD$13,$F27:$J27)&gt;0,ASISTENCIA!BA26&lt;&gt;"X",ASISTENCIA!BA26&lt;&gt;"L",ASISTENCIA!BA26&lt;&gt;"J",ASISTENCIA!BA26&lt;&gt;"F"),SUMIF($F$13:$J$13,BD$13,$F27:$J27),"")</f>
        <v/>
      </c>
      <c r="BE27" s="168" t="str">
        <f>IF(AND(LEN($D27)&gt;0,SUMIF($F$13:$J$13,BE$13,$F27:$J27)&gt;0,ASISTENCIA!BB26&lt;&gt;"X",ASISTENCIA!BB26&lt;&gt;"L",ASISTENCIA!BB26&lt;&gt;"J",ASISTENCIA!BB26&lt;&gt;"F"),SUMIF($F$13:$J$13,BE$13,$F27:$J27),"")</f>
        <v/>
      </c>
      <c r="BF27" s="168" t="str">
        <f>IF(AND(LEN($D27)&gt;0,SUMIF($F$13:$J$13,BF$13,$F27:$J27)&gt;0,ASISTENCIA!#REF!&lt;&gt;"X",ASISTENCIA!#REF!&lt;&gt;"L",ASISTENCIA!#REF!&lt;&gt;"J",ASISTENCIA!#REF!&lt;&gt;"F"),SUMIF($F$13:$J$13,BF$13,$F27:$J27),"")</f>
        <v>#ERROR!</v>
      </c>
      <c r="BG27" s="168" t="str">
        <f>IF(AND(LEN($D27)&gt;0,SUMIF($F$13:$J$13,BG$13,$F27:$J27)&gt;0,ASISTENCIA!#REF!&lt;&gt;"X",ASISTENCIA!#REF!&lt;&gt;"L",ASISTENCIA!#REF!&lt;&gt;"J",ASISTENCIA!#REF!&lt;&gt;"F"),SUMIF($F$13:$J$13,BG$13,$F27:$J27),"")</f>
        <v>#ERROR!</v>
      </c>
      <c r="BH27" s="168" t="str">
        <f>IF(AND(LEN($D27)&gt;0,SUMIF($F$13:$J$13,BH$13,$F27:$J27)&gt;0,ASISTENCIA!BE26&lt;&gt;"X",ASISTENCIA!BE26&lt;&gt;"L",ASISTENCIA!BE26&lt;&gt;"J",ASISTENCIA!BE26&lt;&gt;"F"),SUMIF($F$13:$J$13,BH$13,$F27:$J27),"")</f>
        <v/>
      </c>
      <c r="BI27" s="168" t="str">
        <f>IF(AND(LEN($D27)&gt;0,SUMIF($F$13:$J$13,BI$13,$F27:$J27)&gt;0,ASISTENCIA!BF26&lt;&gt;"X",ASISTENCIA!BF26&lt;&gt;"L",ASISTENCIA!BF26&lt;&gt;"J",ASISTENCIA!BF26&lt;&gt;"F"),SUMIF($F$13:$J$13,BI$13,$F27:$J27),"")</f>
        <v/>
      </c>
      <c r="BJ27" s="168" t="str">
        <f>IF(AND(LEN($D27)&gt;0,SUMIF($F$13:$J$13,BJ$13,$F27:$J27)&gt;0,ASISTENCIA!BG26&lt;&gt;"X",ASISTENCIA!BG26&lt;&gt;"L",ASISTENCIA!BG26&lt;&gt;"J",ASISTENCIA!BG26&lt;&gt;"F"),SUMIF($F$13:$J$13,BJ$13,$F27:$J27),"")</f>
        <v/>
      </c>
      <c r="BK27" s="168" t="str">
        <f>IF(AND(LEN($D27)&gt;0,SUMIF($F$13:$J$13,BK$13,$F27:$J27)&gt;0,ASISTENCIA!BH26&lt;&gt;"X",ASISTENCIA!BH26&lt;&gt;"L",ASISTENCIA!BH26&lt;&gt;"J",ASISTENCIA!BH26&lt;&gt;"F"),SUMIF($F$13:$J$13,BK$13,$F27:$J27),"")</f>
        <v/>
      </c>
      <c r="BL27" s="168" t="str">
        <f>IF(AND(LEN($D27)&gt;0,SUMIF($F$13:$J$13,BL$13,$F27:$J27)&gt;0,ASISTENCIA!BI26&lt;&gt;"X",ASISTENCIA!BI26&lt;&gt;"L",ASISTENCIA!BI26&lt;&gt;"J",ASISTENCIA!BI26&lt;&gt;"F"),SUMIF($F$13:$J$13,BL$13,$F27:$J27),"")</f>
        <v/>
      </c>
      <c r="BM27" s="168" t="str">
        <f>IF(AND(LEN($D27)&gt;0,SUMIF($F$13:$J$13,BM$13,$F27:$J27)&gt;0,ASISTENCIA!BJ26&lt;&gt;"X",ASISTENCIA!BJ26&lt;&gt;"L",ASISTENCIA!BJ26&lt;&gt;"J",ASISTENCIA!BJ26&lt;&gt;"F"),SUMIF($F$13:$J$13,BM$13,$F27:$J27),"")</f>
        <v/>
      </c>
      <c r="BN27" s="168" t="str">
        <f>IF(AND(LEN($D27)&gt;0,SUMIF($F$13:$J$13,BN$13,$F27:$J27)&gt;0,ASISTENCIA!BK26&lt;&gt;"X",ASISTENCIA!BK26&lt;&gt;"L",ASISTENCIA!BK26&lt;&gt;"J",ASISTENCIA!BK26&lt;&gt;"F"),SUMIF($F$13:$J$13,BN$13,$F27:$J27),"")</f>
        <v/>
      </c>
      <c r="BO27" s="168" t="str">
        <f>IF(AND(LEN($D27)&gt;0,SUMIF($F$13:$J$13,BO$13,$F27:$J27)&gt;0,ASISTENCIA!BL26&lt;&gt;"X",ASISTENCIA!BL26&lt;&gt;"L",ASISTENCIA!BL26&lt;&gt;"J",ASISTENCIA!BL26&lt;&gt;"F"),SUMIF($F$13:$J$13,BO$13,$F27:$J27),"")</f>
        <v/>
      </c>
      <c r="BP27" s="168" t="str">
        <f>IF(AND(LEN($D27)&gt;0,SUMIF($F$13:$J$13,BP$13,$F27:$J27)&gt;0,ASISTENCIA!BM26&lt;&gt;"X",ASISTENCIA!BM26&lt;&gt;"L",ASISTENCIA!BM26&lt;&gt;"J",ASISTENCIA!BM26&lt;&gt;"F"),SUMIF($F$13:$J$13,BP$13,$F27:$J27),"")</f>
        <v/>
      </c>
      <c r="BQ27" s="168" t="str">
        <f>IF(AND(LEN($D27)&gt;0,SUMIF($F$13:$J$13,BQ$13,$F27:$J27)&gt;0,ASISTENCIA!BN26&lt;&gt;"X",ASISTENCIA!BN26&lt;&gt;"L",ASISTENCIA!BN26&lt;&gt;"J",ASISTENCIA!BN26&lt;&gt;"F"),SUMIF($F$13:$J$13,BQ$13,$F27:$J27),"")</f>
        <v/>
      </c>
      <c r="BR27" s="168" t="str">
        <f>IF(AND(LEN($D27)&gt;0,SUMIF($F$13:$J$13,BR$13,$F27:$J27)&gt;0,ASISTENCIA!BO26&lt;&gt;"X",ASISTENCIA!BO26&lt;&gt;"L",ASISTENCIA!BO26&lt;&gt;"J",ASISTENCIA!BO26&lt;&gt;"F"),SUMIF($F$13:$J$13,BR$13,$F27:$J27),"")</f>
        <v/>
      </c>
      <c r="BS27" s="168" t="str">
        <f>IF(AND(LEN($D27)&gt;0,SUMIF($F$13:$J$13,BS$13,$F27:$J27)&gt;0,ASISTENCIA!BP26&lt;&gt;"X",ASISTENCIA!BP26&lt;&gt;"L",ASISTENCIA!BP26&lt;&gt;"J",ASISTENCIA!BP26&lt;&gt;"F"),SUMIF($F$13:$J$13,BS$13,$F27:$J27),"")</f>
        <v/>
      </c>
      <c r="BT27" s="168" t="str">
        <f>IF(AND(LEN($D27)&gt;0,SUMIF($F$13:$J$13,BT$13,$F27:$J27)&gt;0,ASISTENCIA!BQ26&lt;&gt;"X",ASISTENCIA!BQ26&lt;&gt;"L",ASISTENCIA!BQ26&lt;&gt;"J",ASISTENCIA!BQ26&lt;&gt;"F"),SUMIF($F$13:$J$13,BT$13,$F27:$J27),"")</f>
        <v/>
      </c>
      <c r="BU27" s="168" t="str">
        <f>IF(AND(LEN($D27)&gt;0,SUMIF($F$13:$J$13,BU$13,$F27:$J27)&gt;0,ASISTENCIA!BR26&lt;&gt;"X",ASISTENCIA!BR26&lt;&gt;"L",ASISTENCIA!BR26&lt;&gt;"J",ASISTENCIA!BR26&lt;&gt;"F"),SUMIF($F$13:$J$13,BU$13,$F27:$J27),"")</f>
        <v/>
      </c>
      <c r="BV27" s="168" t="str">
        <f>IF(AND(LEN($D27)&gt;0,SUMIF($F$13:$J$13,BV$13,$F27:$J27)&gt;0,ASISTENCIA!BS26&lt;&gt;"X",ASISTENCIA!BS26&lt;&gt;"L",ASISTENCIA!BS26&lt;&gt;"J",ASISTENCIA!BS26&lt;&gt;"F"),SUMIF($F$13:$J$13,BV$13,$F27:$J27),"")</f>
        <v/>
      </c>
      <c r="BW27" s="168" t="str">
        <f>IF(AND(LEN($D27)&gt;0,SUMIF($F$13:$J$13,BW$13,$F27:$J27)&gt;0,ASISTENCIA!BT26&lt;&gt;"X",ASISTENCIA!BT26&lt;&gt;"L",ASISTENCIA!BT26&lt;&gt;"J",ASISTENCIA!BT26&lt;&gt;"F"),SUMIF($F$13:$J$13,BW$13,$F27:$J27),"")</f>
        <v/>
      </c>
      <c r="BX27" s="168" t="str">
        <f>IF(AND(LEN($D27)&gt;0,SUMIF($F$13:$J$13,BX$13,$F27:$J27)&gt;0,ASISTENCIA!BU26&lt;&gt;"X",ASISTENCIA!BU26&lt;&gt;"L",ASISTENCIA!BU26&lt;&gt;"J",ASISTENCIA!BU26&lt;&gt;"F"),SUMIF($F$13:$J$13,BX$13,$F27:$J27),"")</f>
        <v/>
      </c>
      <c r="BY27" s="168" t="str">
        <f>IF(AND(LEN($D27)&gt;0,SUMIF($F$13:$J$13,BY$13,$F27:$J27)&gt;0,ASISTENCIA!BV26&lt;&gt;"X",ASISTENCIA!BV26&lt;&gt;"L",ASISTENCIA!BV26&lt;&gt;"J",ASISTENCIA!BV26&lt;&gt;"F"),SUMIF($F$13:$J$13,BY$13,$F27:$J27),"")</f>
        <v/>
      </c>
      <c r="BZ27" s="168" t="str">
        <f>IF(AND(LEN($D27)&gt;0,SUMIF($F$13:$J$13,BZ$13,$F27:$J27)&gt;0,ASISTENCIA!BW26&lt;&gt;"X",ASISTENCIA!BW26&lt;&gt;"L",ASISTENCIA!BW26&lt;&gt;"J",ASISTENCIA!BW26&lt;&gt;"F"),SUMIF($F$13:$J$13,BZ$13,$F27:$J27),"")</f>
        <v/>
      </c>
      <c r="CA27" s="168" t="str">
        <f>IF(AND(LEN($D27)&gt;0,SUMIF($F$13:$J$13,CA$13,$F27:$J27)&gt;0,ASISTENCIA!BX26&lt;&gt;"X",ASISTENCIA!BX26&lt;&gt;"L",ASISTENCIA!BX26&lt;&gt;"J",ASISTENCIA!BX26&lt;&gt;"F"),SUMIF($F$13:$J$13,CA$13,$F27:$J27),"")</f>
        <v/>
      </c>
      <c r="CB27" s="168" t="str">
        <f>IF(AND(LEN($D27)&gt;0,SUMIF($F$13:$J$13,CB$13,$F27:$J27)&gt;0,ASISTENCIA!BY26&lt;&gt;"X",ASISTENCIA!BY26&lt;&gt;"L",ASISTENCIA!BY26&lt;&gt;"J",ASISTENCIA!BY26&lt;&gt;"F"),SUMIF($F$13:$J$13,CB$13,$F27:$J27),"")</f>
        <v/>
      </c>
      <c r="CC27" s="182" t="str">
        <f t="shared" si="5"/>
        <v>#ERROR!</v>
      </c>
      <c r="CD27" s="157"/>
    </row>
    <row r="28" ht="12.75" customHeight="1">
      <c r="A28" s="132" t="str">
        <f t="shared" si="6"/>
        <v/>
      </c>
      <c r="B28" s="183" t="str">
        <f>IF(LEN(C28)&gt;0,VLOOKUP($O$4,DATA!$A$1:$S$1,2,FALSE),"")</f>
        <v/>
      </c>
      <c r="C28" s="184" t="str">
        <f t="shared" si="1"/>
        <v/>
      </c>
      <c r="D28" s="136" t="str">
        <f>IF(LEN(ASISTENCIA!E27)&gt;0,ASISTENCIA!E27,"")</f>
        <v/>
      </c>
      <c r="E28" s="167" t="str">
        <f>IF(LEN(D28)&gt;0,ASISTENCIA!F27,"")</f>
        <v/>
      </c>
      <c r="F28" s="180"/>
      <c r="G28" s="180"/>
      <c r="H28" s="180"/>
      <c r="I28" s="180"/>
      <c r="J28" s="180"/>
      <c r="K28" s="168" t="str">
        <f t="shared" si="2"/>
        <v/>
      </c>
      <c r="L28" s="185"/>
      <c r="M28" s="168"/>
      <c r="N28" s="168" t="str">
        <f t="shared" si="3"/>
        <v>#ERROR!</v>
      </c>
      <c r="O28" s="168" t="str">
        <f>IF(AND(LEN($D28)&gt;0,SUMIF($F$13:$J$13,O$13,$F28:$J28)&gt;0,ASISTENCIA!I27&lt;&gt;"X",ASISTENCIA!I27&lt;&gt;"L",ASISTENCIA!I27&lt;&gt;"J",ASISTENCIA!I27&lt;&gt;"V",ASISTENCIA!I27&lt;&gt;"F",ASISTENCIA!I27&lt;&gt;""),SUMIF($F$13:$J$13,O$13,$F28:$J28),"")</f>
        <v/>
      </c>
      <c r="P28" s="168" t="str">
        <f>IF(AND(LEN($D28)&gt;0,SUMIF($F$13:$J$13,P$13,$F28:$J28)&gt;0,ASISTENCIA!J27&lt;&gt;"X",ASISTENCIA!J27&lt;&gt;"L",ASISTENCIA!J27&lt;&gt;"J",ASISTENCIA!J27&lt;&gt;"V",ASISTENCIA!J27&lt;&gt;"F",ASISTENCIA!J27&lt;&gt;""),SUMIF($F$13:$J$13,P$13,$F28:$J28),"")</f>
        <v/>
      </c>
      <c r="Q28" s="168" t="str">
        <f>IF(AND(LEN($D28)&gt;0,SUMIF($F$13:$J$13,Q$13,$F28:$J28)&gt;0,ASISTENCIA!K27&lt;&gt;"X",ASISTENCIA!K27&lt;&gt;"L",ASISTENCIA!K27&lt;&gt;"J",ASISTENCIA!K27&lt;&gt;"V",ASISTENCIA!K27&lt;&gt;"F",ASISTENCIA!K27&lt;&gt;""),SUMIF($F$13:$J$13,Q$13,$F28:$J28),"")</f>
        <v/>
      </c>
      <c r="R28" s="168" t="str">
        <f>IF(AND(LEN($D28)&gt;0,SUMIF($F$13:$J$13,R$13,$F28:$J28)&gt;0,ASISTENCIA!L27&lt;&gt;"X",ASISTENCIA!L27&lt;&gt;"L",ASISTENCIA!L27&lt;&gt;"J",ASISTENCIA!L27&lt;&gt;"V",ASISTENCIA!L27&lt;&gt;"F",ASISTENCIA!L27&lt;&gt;""),SUMIF($F$13:$J$13,R$13,$F28:$J28),"")</f>
        <v/>
      </c>
      <c r="S28" s="168" t="str">
        <f>IF(AND(LEN($D28)&gt;0,SUMIF($F$13:$J$13,S$13,$F28:$J28)&gt;0,ASISTENCIA!M27&lt;&gt;"X",ASISTENCIA!M27&lt;&gt;"L",ASISTENCIA!M27&lt;&gt;"J",ASISTENCIA!M27&lt;&gt;"V",ASISTENCIA!M27&lt;&gt;"F",ASISTENCIA!M27&lt;&gt;""),SUMIF($F$13:$J$13,S$13,$F28:$J28),"")</f>
        <v/>
      </c>
      <c r="T28" s="168" t="str">
        <f>IF(AND(LEN($D28)&gt;0,SUMIF($F$13:$J$13,T$13,$F28:$J28)&gt;0,ASISTENCIA!N27&lt;&gt;"X",ASISTENCIA!N27&lt;&gt;"L",ASISTENCIA!N27&lt;&gt;"J",ASISTENCIA!N27&lt;&gt;"V",ASISTENCIA!N27&lt;&gt;"F",ASISTENCIA!N27&lt;&gt;""),SUMIF($F$13:$J$13,T$13,$F28:$J28),"")</f>
        <v/>
      </c>
      <c r="U28" s="168" t="str">
        <f>IF(AND(LEN($D28)&gt;0,SUMIF($F$13:$J$13,U$13,$F28:$J28)&gt;0,ASISTENCIA!O27&lt;&gt;"X",ASISTENCIA!O27&lt;&gt;"L",ASISTENCIA!O27&lt;&gt;"J",ASISTENCIA!O27&lt;&gt;"V",ASISTENCIA!O27&lt;&gt;"F",ASISTENCIA!O27&lt;&gt;""),SUMIF($F$13:$J$13,U$13,$F28:$J28),"")</f>
        <v/>
      </c>
      <c r="V28" s="168" t="str">
        <f>IF(AND(LEN($D28)&gt;0,SUMIF($F$13:$J$13,V$13,$F28:$J28)&gt;0,ASISTENCIA!P27&lt;&gt;"X",ASISTENCIA!P27&lt;&gt;"L",ASISTENCIA!P27&lt;&gt;"J",ASISTENCIA!P27&lt;&gt;"V",ASISTENCIA!P27&lt;&gt;"F",ASISTENCIA!P27&lt;&gt;""),SUMIF($F$13:$J$13,V$13,$F28:$J28),"")</f>
        <v/>
      </c>
      <c r="W28" s="168" t="str">
        <f>IF(AND(LEN($D28)&gt;0,SUMIF($F$13:$J$13,W$13,$F28:$J28)&gt;0,ASISTENCIA!Q27&lt;&gt;"X",ASISTENCIA!Q27&lt;&gt;"L",ASISTENCIA!Q27&lt;&gt;"J",ASISTENCIA!Q27&lt;&gt;"V",ASISTENCIA!Q27&lt;&gt;"F",ASISTENCIA!Q27&lt;&gt;""),SUMIF($F$13:$J$13,W$13,$F28:$J28),"")</f>
        <v/>
      </c>
      <c r="X28" s="168" t="str">
        <f>IF(AND(LEN($D28)&gt;0,SUMIF($F$13:$J$13,X$13,$F28:$J28)&gt;0,ASISTENCIA!R27&lt;&gt;"X",ASISTENCIA!R27&lt;&gt;"L",ASISTENCIA!R27&lt;&gt;"J",ASISTENCIA!R27&lt;&gt;"V",ASISTENCIA!R27&lt;&gt;"F",ASISTENCIA!R27&lt;&gt;""),SUMIF($F$13:$J$13,X$13,$F28:$J28),"")</f>
        <v/>
      </c>
      <c r="Y28" s="168" t="str">
        <f>IF(AND(LEN($D28)&gt;0,SUMIF($F$13:$J$13,Y$13,$F28:$J28)&gt;0,ASISTENCIA!S27&lt;&gt;"X",ASISTENCIA!S27&lt;&gt;"L",ASISTENCIA!S27&lt;&gt;"J",ASISTENCIA!S27&lt;&gt;"V",ASISTENCIA!S27&lt;&gt;"F",ASISTENCIA!S27&lt;&gt;""),SUMIF($F$13:$J$13,Y$13,$F28:$J28),"")</f>
        <v/>
      </c>
      <c r="Z28" s="168" t="str">
        <f>IF(AND(LEN($D28)&gt;0,SUMIF($F$13:$J$13,Z$13,$F28:$J28)&gt;0,ASISTENCIA!T27&lt;&gt;"X",ASISTENCIA!T27&lt;&gt;"L",ASISTENCIA!T27&lt;&gt;"J",ASISTENCIA!T27&lt;&gt;"V",ASISTENCIA!T27&lt;&gt;"F",ASISTENCIA!T27&lt;&gt;""),SUMIF($F$13:$J$13,Z$13,$F28:$J28),"")</f>
        <v/>
      </c>
      <c r="AA28" s="168" t="str">
        <f>IF(AND(LEN($D28)&gt;0,SUMIF($F$13:$J$13,AA$13,$F28:$J28)&gt;0,ASISTENCIA!U27&lt;&gt;"X",ASISTENCIA!U27&lt;&gt;"L",ASISTENCIA!U27&lt;&gt;"J",ASISTENCIA!U27&lt;&gt;"V",ASISTENCIA!U27&lt;&gt;"F",ASISTENCIA!U27&lt;&gt;""),SUMIF($F$13:$J$13,AA$13,$F28:$J28),"")</f>
        <v/>
      </c>
      <c r="AB28" s="168" t="str">
        <f>IF(AND(LEN($D28)&gt;0,SUMIF($F$13:$J$13,AB$13,$F28:$J28)&gt;0,ASISTENCIA!V27&lt;&gt;"X",ASISTENCIA!V27&lt;&gt;"L",ASISTENCIA!V27&lt;&gt;"J",ASISTENCIA!V27&lt;&gt;"V",ASISTENCIA!V27&lt;&gt;"F",ASISTENCIA!V27&lt;&gt;""),SUMIF($F$13:$J$13,AB$13,$F28:$J28),"")</f>
        <v/>
      </c>
      <c r="AC28" s="168" t="str">
        <f>IF(AND(LEN($D28)&gt;0,SUMIF($F$13:$J$13,AC$13,$F28:$J28)&gt;0,ASISTENCIA!W27&lt;&gt;"X",ASISTENCIA!W27&lt;&gt;"L",ASISTENCIA!W27&lt;&gt;"J",ASISTENCIA!W27&lt;&gt;"V",ASISTENCIA!W27&lt;&gt;"F",ASISTENCIA!W27&lt;&gt;""),SUMIF($F$13:$J$13,AC$13,$F28:$J28),"")</f>
        <v/>
      </c>
      <c r="AD28" s="168" t="str">
        <f>IF(AND(LEN($D28)&gt;0,SUMIF($F$13:$J$13,AD$13,$F28:$J28)&gt;0,ASISTENCIA!X27&lt;&gt;"X",ASISTENCIA!X27&lt;&gt;"L",ASISTENCIA!X27&lt;&gt;"J",ASISTENCIA!X27&lt;&gt;"V",ASISTENCIA!X27&lt;&gt;"F",ASISTENCIA!X27&lt;&gt;""),SUMIF($F$13:$J$13,AD$13,$F28:$J28),"")</f>
        <v/>
      </c>
      <c r="AE28" s="168" t="str">
        <f>IF(AND(LEN($D28)&gt;0,SUMIF($F$13:$J$13,AE$13,$F28:$J28)&gt;0,ASISTENCIA!Y27&lt;&gt;"X",ASISTENCIA!Y27&lt;&gt;"L",ASISTENCIA!Y27&lt;&gt;"J",ASISTENCIA!Y27&lt;&gt;"V",ASISTENCIA!Y27&lt;&gt;"F",ASISTENCIA!Y27&lt;&gt;""),SUMIF($F$13:$J$13,AE$13,$F28:$J28),"")</f>
        <v/>
      </c>
      <c r="AF28" s="168" t="str">
        <f>IF(AND(LEN($D28)&gt;0,SUMIF($F$13:$J$13,AF$13,$F28:$J28)&gt;0,ASISTENCIA!Z27&lt;&gt;"X",ASISTENCIA!Z27&lt;&gt;"L",ASISTENCIA!Z27&lt;&gt;"J",ASISTENCIA!Z27&lt;&gt;"V",ASISTENCIA!Z27&lt;&gt;"F",ASISTENCIA!Z27&lt;&gt;""),SUMIF($F$13:$J$13,AF$13,$F28:$J28),"")</f>
        <v/>
      </c>
      <c r="AG28" s="168" t="str">
        <f>IF(AND(LEN($D28)&gt;0,SUMIF($F$13:$J$13,AG$13,$F28:$J28)&gt;0,ASISTENCIA!AA27&lt;&gt;"X",ASISTENCIA!AA27&lt;&gt;"L",ASISTENCIA!AA27&lt;&gt;"J",ASISTENCIA!AA27&lt;&gt;"V",ASISTENCIA!AA27&lt;&gt;"F",ASISTENCIA!AA27&lt;&gt;""),SUMIF($F$13:$J$13,AG$13,$F28:$J28),"")</f>
        <v/>
      </c>
      <c r="AH28" s="168" t="str">
        <f>IF(AND(LEN($D28)&gt;0,SUMIF($F$13:$J$13,AH$13,$F28:$J28)&gt;0,ASISTENCIA!AB27&lt;&gt;"X",ASISTENCIA!AB27&lt;&gt;"L",ASISTENCIA!AB27&lt;&gt;"J",ASISTENCIA!AB27&lt;&gt;"V",ASISTENCIA!AB27&lt;&gt;"F",ASISTENCIA!AB27&lt;&gt;""),SUMIF($F$13:$J$13,AH$13,$F28:$J28),"")</f>
        <v/>
      </c>
      <c r="AI28" s="168" t="str">
        <f>IF(AND(LEN($D28)&gt;0,SUMIF($F$13:$J$13,AI$13,$F28:$J28)&gt;0,ASISTENCIA!AC27&lt;&gt;"X",ASISTENCIA!AC27&lt;&gt;"L",ASISTENCIA!AC27&lt;&gt;"J",ASISTENCIA!AC27&lt;&gt;"V",ASISTENCIA!AC27&lt;&gt;"F",ASISTENCIA!AC27&lt;&gt;""),SUMIF($F$13:$J$13,AI$13,$F28:$J28),"")</f>
        <v/>
      </c>
      <c r="AJ28" s="168" t="str">
        <f>IF(AND(LEN($D28)&gt;0,SUMIF($F$13:$J$13,AJ$13,$F28:$J28)&gt;0,ASISTENCIA!AD27&lt;&gt;"X",ASISTENCIA!AD27&lt;&gt;"L",ASISTENCIA!AD27&lt;&gt;"J",ASISTENCIA!AD27&lt;&gt;"V",ASISTENCIA!AD27&lt;&gt;"F",ASISTENCIA!AD27&lt;&gt;""),SUMIF($F$13:$J$13,AJ$13,$F28:$J28),"")</f>
        <v/>
      </c>
      <c r="AK28" s="168" t="str">
        <f>IF(AND(LEN($D28)&gt;0,SUMIF($F$13:$J$13,AK$13,$F28:$J28)&gt;0,ASISTENCIA!AE27&lt;&gt;"X",ASISTENCIA!AE27&lt;&gt;"L",ASISTENCIA!AE27&lt;&gt;"J",ASISTENCIA!AE27&lt;&gt;"V",ASISTENCIA!AE27&lt;&gt;"F",ASISTENCIA!AE27&lt;&gt;""),SUMIF($F$13:$J$13,AK$13,$F28:$J28),"")</f>
        <v/>
      </c>
      <c r="AL28" s="168" t="str">
        <f>IF(AND(LEN($D28)&gt;0,SUMIF($F$13:$J$13,AL$13,$F28:$J28)&gt;0,ASISTENCIA!AF27&lt;&gt;"X",ASISTENCIA!AF27&lt;&gt;"L",ASISTENCIA!AF27&lt;&gt;"J",ASISTENCIA!AF27&lt;&gt;"V",ASISTENCIA!AF27&lt;&gt;"F",ASISTENCIA!AF27&lt;&gt;""),SUMIF($F$13:$J$13,AL$13,$F28:$J28),"")</f>
        <v/>
      </c>
      <c r="AM28" s="168" t="str">
        <f>IF(AND(LEN($D28)&gt;0,SUMIF($F$13:$J$13,AM$13,$F28:$J28)&gt;0,ASISTENCIA!AG27&lt;&gt;"X",ASISTENCIA!AG27&lt;&gt;"L",ASISTENCIA!AG27&lt;&gt;"J",ASISTENCIA!AG27&lt;&gt;"V",ASISTENCIA!AG27&lt;&gt;"F",ASISTENCIA!AG27&lt;&gt;""),SUMIF($F$13:$J$13,AM$13,$F28:$J28),"")</f>
        <v/>
      </c>
      <c r="AN28" s="168" t="str">
        <f>IF(AND(LEN($D28)&gt;0,SUMIF($F$13:$J$13,AN$13,$F28:$J28)&gt;0,ASISTENCIA!AH27&lt;&gt;"X",ASISTENCIA!AH27&lt;&gt;"L",ASISTENCIA!AH27&lt;&gt;"J",ASISTENCIA!AH27&lt;&gt;"V",ASISTENCIA!AH27&lt;&gt;"F",ASISTENCIA!AH27&lt;&gt;""),SUMIF($F$13:$J$13,AN$13,$F28:$J28),"")</f>
        <v/>
      </c>
      <c r="AO28" s="168" t="str">
        <f>IF(AND(LEN($D28)&gt;0,SUMIF($F$13:$J$13,AO$13,$F28:$J28)&gt;0,ASISTENCIA!AI27&lt;&gt;"X",ASISTENCIA!AI27&lt;&gt;"L",ASISTENCIA!AI27&lt;&gt;"J",ASISTENCIA!AI27&lt;&gt;"V",ASISTENCIA!AI27&lt;&gt;"F",ASISTENCIA!AI27&lt;&gt;""),SUMIF($F$13:$J$13,AO$13,$F28:$J28),"")</f>
        <v/>
      </c>
      <c r="AP28" s="168" t="str">
        <f>IF(AND(LEN($D28)&gt;0,SUMIF($F$13:$J$13,AP$13,$F28:$J28)&gt;0,ASISTENCIA!AJ27&lt;&gt;"X",ASISTENCIA!AJ27&lt;&gt;"L",ASISTENCIA!AJ27&lt;&gt;"J",ASISTENCIA!AJ27&lt;&gt;"V",ASISTENCIA!AJ27&lt;&gt;"F",ASISTENCIA!AJ27&lt;&gt;""),SUMIF($F$13:$J$13,AP$13,$F28:$J28),"")</f>
        <v/>
      </c>
      <c r="AQ28" s="168" t="str">
        <f>IF(AND(LEN($D28)&gt;0,SUMIF($F$13:$J$13,AQ$13,$F28:$J28)&gt;0,ASISTENCIA!AK27&lt;&gt;"X",ASISTENCIA!AK27&lt;&gt;"L",ASISTENCIA!AK27&lt;&gt;"J",ASISTENCIA!AK27&lt;&gt;"V",ASISTENCIA!AK27&lt;&gt;"F",ASISTENCIA!AK27&lt;&gt;""),SUMIF($F$13:$J$13,AQ$13,$F28:$J28),"")</f>
        <v/>
      </c>
      <c r="AR28" s="168" t="str">
        <f>IF(AND(LEN($D28)&gt;0,SUMIF($F$13:$J$13,AR$13,$F28:$J28)&gt;0,ASISTENCIA!AL27&lt;&gt;"X",ASISTENCIA!AL27&lt;&gt;"L",ASISTENCIA!AL27&lt;&gt;"J",ASISTENCIA!AL27&lt;&gt;"V",ASISTENCIA!AL27&lt;&gt;"F",ASISTENCIA!AL27&lt;&gt;""),SUMIF($F$13:$J$13,AR$13,$F28:$J28),"")</f>
        <v/>
      </c>
      <c r="AS28" s="168" t="str">
        <f>IF(AND(LEN($D28)&gt;0,SUMIF($F$13:$J$13,AS$13,$F28:$J28)&gt;0,ASISTENCIA!AM27&lt;&gt;"X",ASISTENCIA!AM27&lt;&gt;"L",ASISTENCIA!AM27&lt;&gt;"J",ASISTENCIA!AM27&lt;&gt;"V",ASISTENCIA!AM27&lt;&gt;"F",ASISTENCIA!AM27&lt;&gt;""),SUMIF($F$13:$J$13,AS$13,$F28:$J28),"")</f>
        <v/>
      </c>
      <c r="AT28" s="182" t="str">
        <f t="shared" si="4"/>
        <v/>
      </c>
      <c r="AU28" s="157"/>
      <c r="AV28" s="157"/>
      <c r="AW28" s="157"/>
      <c r="AX28" s="168" t="str">
        <f>IF(AND(LEN($D28)&gt;0,SUMIF($F$13:$J$13,AX$13,$F28:$J28)&gt;0,ASISTENCIA!AU27&lt;&gt;"X",ASISTENCIA!AU27&lt;&gt;"L",ASISTENCIA!AU27&lt;&gt;"J",ASISTENCIA!AU27&lt;&gt;"F"),SUMIF($F$13:$J$13,AX$13,$F28:$J28),"")</f>
        <v/>
      </c>
      <c r="AY28" s="168" t="str">
        <f>IF(AND(LEN($D28)&gt;0,SUMIF($F$13:$J$13,AY$13,$F28:$J28)&gt;0,ASISTENCIA!AV27&lt;&gt;"X",ASISTENCIA!AV27&lt;&gt;"L",ASISTENCIA!AV27&lt;&gt;"J",ASISTENCIA!AV27&lt;&gt;"F"),SUMIF($F$13:$J$13,AY$13,$F28:$J28),"")</f>
        <v/>
      </c>
      <c r="AZ28" s="168" t="str">
        <f>IF(AND(LEN($D28)&gt;0,SUMIF($F$13:$J$13,AZ$13,$F28:$J28)&gt;0,ASISTENCIA!AW27&lt;&gt;"X",ASISTENCIA!AW27&lt;&gt;"L",ASISTENCIA!AW27&lt;&gt;"J",ASISTENCIA!AW27&lt;&gt;"F"),SUMIF($F$13:$J$13,AZ$13,$F28:$J28),"")</f>
        <v/>
      </c>
      <c r="BA28" s="168" t="str">
        <f>IF(AND(LEN($D28)&gt;0,SUMIF($F$13:$J$13,BA$13,$F28:$J28)&gt;0,ASISTENCIA!AX27&lt;&gt;"X",ASISTENCIA!AX27&lt;&gt;"L",ASISTENCIA!AX27&lt;&gt;"J",ASISTENCIA!AX27&lt;&gt;"F"),SUMIF($F$13:$J$13,BA$13,$F28:$J28),"")</f>
        <v/>
      </c>
      <c r="BB28" s="168" t="str">
        <f>IF(AND(LEN($D28)&gt;0,SUMIF($F$13:$J$13,BB$13,$F28:$J28)&gt;0,ASISTENCIA!AY27&lt;&gt;"X",ASISTENCIA!AY27&lt;&gt;"L",ASISTENCIA!AY27&lt;&gt;"J",ASISTENCIA!AY27&lt;&gt;"F"),SUMIF($F$13:$J$13,BB$13,$F28:$J28),"")</f>
        <v/>
      </c>
      <c r="BC28" s="168" t="str">
        <f>IF(AND(LEN($D28)&gt;0,SUMIF($F$13:$J$13,BC$13,$F28:$J28)&gt;0,ASISTENCIA!AZ27&lt;&gt;"X",ASISTENCIA!AZ27&lt;&gt;"L",ASISTENCIA!AZ27&lt;&gt;"J",ASISTENCIA!AZ27&lt;&gt;"F"),SUMIF($F$13:$J$13,BC$13,$F28:$J28),"")</f>
        <v/>
      </c>
      <c r="BD28" s="168" t="str">
        <f>IF(AND(LEN($D28)&gt;0,SUMIF($F$13:$J$13,BD$13,$F28:$J28)&gt;0,ASISTENCIA!BA27&lt;&gt;"X",ASISTENCIA!BA27&lt;&gt;"L",ASISTENCIA!BA27&lt;&gt;"J",ASISTENCIA!BA27&lt;&gt;"F"),SUMIF($F$13:$J$13,BD$13,$F28:$J28),"")</f>
        <v/>
      </c>
      <c r="BE28" s="168" t="str">
        <f>IF(AND(LEN($D28)&gt;0,SUMIF($F$13:$J$13,BE$13,$F28:$J28)&gt;0,ASISTENCIA!BB27&lt;&gt;"X",ASISTENCIA!BB27&lt;&gt;"L",ASISTENCIA!BB27&lt;&gt;"J",ASISTENCIA!BB27&lt;&gt;"F"),SUMIF($F$13:$J$13,BE$13,$F28:$J28),"")</f>
        <v/>
      </c>
      <c r="BF28" s="168" t="str">
        <f>IF(AND(LEN($D28)&gt;0,SUMIF($F$13:$J$13,BF$13,$F28:$J28)&gt;0,ASISTENCIA!#REF!&lt;&gt;"X",ASISTENCIA!#REF!&lt;&gt;"L",ASISTENCIA!#REF!&lt;&gt;"J",ASISTENCIA!#REF!&lt;&gt;"F"),SUMIF($F$13:$J$13,BF$13,$F28:$J28),"")</f>
        <v>#ERROR!</v>
      </c>
      <c r="BG28" s="168" t="str">
        <f>IF(AND(LEN($D28)&gt;0,SUMIF($F$13:$J$13,BG$13,$F28:$J28)&gt;0,ASISTENCIA!#REF!&lt;&gt;"X",ASISTENCIA!#REF!&lt;&gt;"L",ASISTENCIA!#REF!&lt;&gt;"J",ASISTENCIA!#REF!&lt;&gt;"F"),SUMIF($F$13:$J$13,BG$13,$F28:$J28),"")</f>
        <v>#ERROR!</v>
      </c>
      <c r="BH28" s="168" t="str">
        <f>IF(AND(LEN($D28)&gt;0,SUMIF($F$13:$J$13,BH$13,$F28:$J28)&gt;0,ASISTENCIA!BE27&lt;&gt;"X",ASISTENCIA!BE27&lt;&gt;"L",ASISTENCIA!BE27&lt;&gt;"J",ASISTENCIA!BE27&lt;&gt;"F"),SUMIF($F$13:$J$13,BH$13,$F28:$J28),"")</f>
        <v/>
      </c>
      <c r="BI28" s="168" t="str">
        <f>IF(AND(LEN($D28)&gt;0,SUMIF($F$13:$J$13,BI$13,$F28:$J28)&gt;0,ASISTENCIA!BF27&lt;&gt;"X",ASISTENCIA!BF27&lt;&gt;"L",ASISTENCIA!BF27&lt;&gt;"J",ASISTENCIA!BF27&lt;&gt;"F"),SUMIF($F$13:$J$13,BI$13,$F28:$J28),"")</f>
        <v/>
      </c>
      <c r="BJ28" s="168" t="str">
        <f>IF(AND(LEN($D28)&gt;0,SUMIF($F$13:$J$13,BJ$13,$F28:$J28)&gt;0,ASISTENCIA!BG27&lt;&gt;"X",ASISTENCIA!BG27&lt;&gt;"L",ASISTENCIA!BG27&lt;&gt;"J",ASISTENCIA!BG27&lt;&gt;"F"),SUMIF($F$13:$J$13,BJ$13,$F28:$J28),"")</f>
        <v/>
      </c>
      <c r="BK28" s="168" t="str">
        <f>IF(AND(LEN($D28)&gt;0,SUMIF($F$13:$J$13,BK$13,$F28:$J28)&gt;0,ASISTENCIA!BH27&lt;&gt;"X",ASISTENCIA!BH27&lt;&gt;"L",ASISTENCIA!BH27&lt;&gt;"J",ASISTENCIA!BH27&lt;&gt;"F"),SUMIF($F$13:$J$13,BK$13,$F28:$J28),"")</f>
        <v/>
      </c>
      <c r="BL28" s="168" t="str">
        <f>IF(AND(LEN($D28)&gt;0,SUMIF($F$13:$J$13,BL$13,$F28:$J28)&gt;0,ASISTENCIA!BI27&lt;&gt;"X",ASISTENCIA!BI27&lt;&gt;"L",ASISTENCIA!BI27&lt;&gt;"J",ASISTENCIA!BI27&lt;&gt;"F"),SUMIF($F$13:$J$13,BL$13,$F28:$J28),"")</f>
        <v/>
      </c>
      <c r="BM28" s="168" t="str">
        <f>IF(AND(LEN($D28)&gt;0,SUMIF($F$13:$J$13,BM$13,$F28:$J28)&gt;0,ASISTENCIA!BJ27&lt;&gt;"X",ASISTENCIA!BJ27&lt;&gt;"L",ASISTENCIA!BJ27&lt;&gt;"J",ASISTENCIA!BJ27&lt;&gt;"F"),SUMIF($F$13:$J$13,BM$13,$F28:$J28),"")</f>
        <v/>
      </c>
      <c r="BN28" s="168" t="str">
        <f>IF(AND(LEN($D28)&gt;0,SUMIF($F$13:$J$13,BN$13,$F28:$J28)&gt;0,ASISTENCIA!BK27&lt;&gt;"X",ASISTENCIA!BK27&lt;&gt;"L",ASISTENCIA!BK27&lt;&gt;"J",ASISTENCIA!BK27&lt;&gt;"F"),SUMIF($F$13:$J$13,BN$13,$F28:$J28),"")</f>
        <v/>
      </c>
      <c r="BO28" s="168" t="str">
        <f>IF(AND(LEN($D28)&gt;0,SUMIF($F$13:$J$13,BO$13,$F28:$J28)&gt;0,ASISTENCIA!BL27&lt;&gt;"X",ASISTENCIA!BL27&lt;&gt;"L",ASISTENCIA!BL27&lt;&gt;"J",ASISTENCIA!BL27&lt;&gt;"F"),SUMIF($F$13:$J$13,BO$13,$F28:$J28),"")</f>
        <v/>
      </c>
      <c r="BP28" s="168" t="str">
        <f>IF(AND(LEN($D28)&gt;0,SUMIF($F$13:$J$13,BP$13,$F28:$J28)&gt;0,ASISTENCIA!BM27&lt;&gt;"X",ASISTENCIA!BM27&lt;&gt;"L",ASISTENCIA!BM27&lt;&gt;"J",ASISTENCIA!BM27&lt;&gt;"F"),SUMIF($F$13:$J$13,BP$13,$F28:$J28),"")</f>
        <v/>
      </c>
      <c r="BQ28" s="168" t="str">
        <f>IF(AND(LEN($D28)&gt;0,SUMIF($F$13:$J$13,BQ$13,$F28:$J28)&gt;0,ASISTENCIA!BN27&lt;&gt;"X",ASISTENCIA!BN27&lt;&gt;"L",ASISTENCIA!BN27&lt;&gt;"J",ASISTENCIA!BN27&lt;&gt;"F"),SUMIF($F$13:$J$13,BQ$13,$F28:$J28),"")</f>
        <v/>
      </c>
      <c r="BR28" s="168" t="str">
        <f>IF(AND(LEN($D28)&gt;0,SUMIF($F$13:$J$13,BR$13,$F28:$J28)&gt;0,ASISTENCIA!BO27&lt;&gt;"X",ASISTENCIA!BO27&lt;&gt;"L",ASISTENCIA!BO27&lt;&gt;"J",ASISTENCIA!BO27&lt;&gt;"F"),SUMIF($F$13:$J$13,BR$13,$F28:$J28),"")</f>
        <v/>
      </c>
      <c r="BS28" s="168" t="str">
        <f>IF(AND(LEN($D28)&gt;0,SUMIF($F$13:$J$13,BS$13,$F28:$J28)&gt;0,ASISTENCIA!BP27&lt;&gt;"X",ASISTENCIA!BP27&lt;&gt;"L",ASISTENCIA!BP27&lt;&gt;"J",ASISTENCIA!BP27&lt;&gt;"F"),SUMIF($F$13:$J$13,BS$13,$F28:$J28),"")</f>
        <v/>
      </c>
      <c r="BT28" s="168" t="str">
        <f>IF(AND(LEN($D28)&gt;0,SUMIF($F$13:$J$13,BT$13,$F28:$J28)&gt;0,ASISTENCIA!BQ27&lt;&gt;"X",ASISTENCIA!BQ27&lt;&gt;"L",ASISTENCIA!BQ27&lt;&gt;"J",ASISTENCIA!BQ27&lt;&gt;"F"),SUMIF($F$13:$J$13,BT$13,$F28:$J28),"")</f>
        <v/>
      </c>
      <c r="BU28" s="168" t="str">
        <f>IF(AND(LEN($D28)&gt;0,SUMIF($F$13:$J$13,BU$13,$F28:$J28)&gt;0,ASISTENCIA!BR27&lt;&gt;"X",ASISTENCIA!BR27&lt;&gt;"L",ASISTENCIA!BR27&lt;&gt;"J",ASISTENCIA!BR27&lt;&gt;"F"),SUMIF($F$13:$J$13,BU$13,$F28:$J28),"")</f>
        <v/>
      </c>
      <c r="BV28" s="168" t="str">
        <f>IF(AND(LEN($D28)&gt;0,SUMIF($F$13:$J$13,BV$13,$F28:$J28)&gt;0,ASISTENCIA!BS27&lt;&gt;"X",ASISTENCIA!BS27&lt;&gt;"L",ASISTENCIA!BS27&lt;&gt;"J",ASISTENCIA!BS27&lt;&gt;"F"),SUMIF($F$13:$J$13,BV$13,$F28:$J28),"")</f>
        <v/>
      </c>
      <c r="BW28" s="168" t="str">
        <f>IF(AND(LEN($D28)&gt;0,SUMIF($F$13:$J$13,BW$13,$F28:$J28)&gt;0,ASISTENCIA!BT27&lt;&gt;"X",ASISTENCIA!BT27&lt;&gt;"L",ASISTENCIA!BT27&lt;&gt;"J",ASISTENCIA!BT27&lt;&gt;"F"),SUMIF($F$13:$J$13,BW$13,$F28:$J28),"")</f>
        <v/>
      </c>
      <c r="BX28" s="168" t="str">
        <f>IF(AND(LEN($D28)&gt;0,SUMIF($F$13:$J$13,BX$13,$F28:$J28)&gt;0,ASISTENCIA!BU27&lt;&gt;"X",ASISTENCIA!BU27&lt;&gt;"L",ASISTENCIA!BU27&lt;&gt;"J",ASISTENCIA!BU27&lt;&gt;"F"),SUMIF($F$13:$J$13,BX$13,$F28:$J28),"")</f>
        <v/>
      </c>
      <c r="BY28" s="168" t="str">
        <f>IF(AND(LEN($D28)&gt;0,SUMIF($F$13:$J$13,BY$13,$F28:$J28)&gt;0,ASISTENCIA!BV27&lt;&gt;"X",ASISTENCIA!BV27&lt;&gt;"L",ASISTENCIA!BV27&lt;&gt;"J",ASISTENCIA!BV27&lt;&gt;"F"),SUMIF($F$13:$J$13,BY$13,$F28:$J28),"")</f>
        <v/>
      </c>
      <c r="BZ28" s="168" t="str">
        <f>IF(AND(LEN($D28)&gt;0,SUMIF($F$13:$J$13,BZ$13,$F28:$J28)&gt;0,ASISTENCIA!BW27&lt;&gt;"X",ASISTENCIA!BW27&lt;&gt;"L",ASISTENCIA!BW27&lt;&gt;"J",ASISTENCIA!BW27&lt;&gt;"F"),SUMIF($F$13:$J$13,BZ$13,$F28:$J28),"")</f>
        <v/>
      </c>
      <c r="CA28" s="168" t="str">
        <f>IF(AND(LEN($D28)&gt;0,SUMIF($F$13:$J$13,CA$13,$F28:$J28)&gt;0,ASISTENCIA!BX27&lt;&gt;"X",ASISTENCIA!BX27&lt;&gt;"L",ASISTENCIA!BX27&lt;&gt;"J",ASISTENCIA!BX27&lt;&gt;"F"),SUMIF($F$13:$J$13,CA$13,$F28:$J28),"")</f>
        <v/>
      </c>
      <c r="CB28" s="168" t="str">
        <f>IF(AND(LEN($D28)&gt;0,SUMIF($F$13:$J$13,CB$13,$F28:$J28)&gt;0,ASISTENCIA!BY27&lt;&gt;"X",ASISTENCIA!BY27&lt;&gt;"L",ASISTENCIA!BY27&lt;&gt;"J",ASISTENCIA!BY27&lt;&gt;"F"),SUMIF($F$13:$J$13,CB$13,$F28:$J28),"")</f>
        <v/>
      </c>
      <c r="CC28" s="182" t="str">
        <f t="shared" si="5"/>
        <v>#ERROR!</v>
      </c>
      <c r="CD28" s="157"/>
    </row>
    <row r="29" ht="12.75" customHeight="1">
      <c r="A29" s="132" t="str">
        <f t="shared" si="6"/>
        <v/>
      </c>
      <c r="B29" s="183" t="str">
        <f>IF(LEN(C29)&gt;0,VLOOKUP($O$4,DATA!$A$1:$S$1,2,FALSE),"")</f>
        <v/>
      </c>
      <c r="C29" s="184" t="str">
        <f t="shared" si="1"/>
        <v/>
      </c>
      <c r="D29" s="136" t="str">
        <f>IF(LEN(ASISTENCIA!E28)&gt;0,ASISTENCIA!E28,"")</f>
        <v/>
      </c>
      <c r="E29" s="167" t="str">
        <f>IF(LEN(D29)&gt;0,ASISTENCIA!F28,"")</f>
        <v/>
      </c>
      <c r="F29" s="180"/>
      <c r="G29" s="180"/>
      <c r="H29" s="180"/>
      <c r="I29" s="180"/>
      <c r="J29" s="180"/>
      <c r="K29" s="168" t="str">
        <f t="shared" si="2"/>
        <v/>
      </c>
      <c r="L29" s="185"/>
      <c r="M29" s="168"/>
      <c r="N29" s="168" t="str">
        <f t="shared" si="3"/>
        <v>#ERROR!</v>
      </c>
      <c r="O29" s="168" t="str">
        <f>IF(AND(LEN($D29)&gt;0,SUMIF($F$13:$J$13,O$13,$F29:$J29)&gt;0,ASISTENCIA!I28&lt;&gt;"X",ASISTENCIA!I28&lt;&gt;"L",ASISTENCIA!I28&lt;&gt;"J",ASISTENCIA!I28&lt;&gt;"V",ASISTENCIA!I28&lt;&gt;"F",ASISTENCIA!I28&lt;&gt;""),SUMIF($F$13:$J$13,O$13,$F29:$J29),"")</f>
        <v/>
      </c>
      <c r="P29" s="168" t="str">
        <f>IF(AND(LEN($D29)&gt;0,SUMIF($F$13:$J$13,P$13,$F29:$J29)&gt;0,ASISTENCIA!J28&lt;&gt;"X",ASISTENCIA!J28&lt;&gt;"L",ASISTENCIA!J28&lt;&gt;"J",ASISTENCIA!J28&lt;&gt;"V",ASISTENCIA!J28&lt;&gt;"F",ASISTENCIA!J28&lt;&gt;""),SUMIF($F$13:$J$13,P$13,$F29:$J29),"")</f>
        <v/>
      </c>
      <c r="Q29" s="168" t="str">
        <f>IF(AND(LEN($D29)&gt;0,SUMIF($F$13:$J$13,Q$13,$F29:$J29)&gt;0,ASISTENCIA!K28&lt;&gt;"X",ASISTENCIA!K28&lt;&gt;"L",ASISTENCIA!K28&lt;&gt;"J",ASISTENCIA!K28&lt;&gt;"V",ASISTENCIA!K28&lt;&gt;"F",ASISTENCIA!K28&lt;&gt;""),SUMIF($F$13:$J$13,Q$13,$F29:$J29),"")</f>
        <v/>
      </c>
      <c r="R29" s="168" t="str">
        <f>IF(AND(LEN($D29)&gt;0,SUMIF($F$13:$J$13,R$13,$F29:$J29)&gt;0,ASISTENCIA!L28&lt;&gt;"X",ASISTENCIA!L28&lt;&gt;"L",ASISTENCIA!L28&lt;&gt;"J",ASISTENCIA!L28&lt;&gt;"V",ASISTENCIA!L28&lt;&gt;"F",ASISTENCIA!L28&lt;&gt;""),SUMIF($F$13:$J$13,R$13,$F29:$J29),"")</f>
        <v/>
      </c>
      <c r="S29" s="168" t="str">
        <f>IF(AND(LEN($D29)&gt;0,SUMIF($F$13:$J$13,S$13,$F29:$J29)&gt;0,ASISTENCIA!M28&lt;&gt;"X",ASISTENCIA!M28&lt;&gt;"L",ASISTENCIA!M28&lt;&gt;"J",ASISTENCIA!M28&lt;&gt;"V",ASISTENCIA!M28&lt;&gt;"F",ASISTENCIA!M28&lt;&gt;""),SUMIF($F$13:$J$13,S$13,$F29:$J29),"")</f>
        <v/>
      </c>
      <c r="T29" s="168" t="str">
        <f>IF(AND(LEN($D29)&gt;0,SUMIF($F$13:$J$13,T$13,$F29:$J29)&gt;0,ASISTENCIA!N28&lt;&gt;"X",ASISTENCIA!N28&lt;&gt;"L",ASISTENCIA!N28&lt;&gt;"J",ASISTENCIA!N28&lt;&gt;"V",ASISTENCIA!N28&lt;&gt;"F",ASISTENCIA!N28&lt;&gt;""),SUMIF($F$13:$J$13,T$13,$F29:$J29),"")</f>
        <v/>
      </c>
      <c r="U29" s="168" t="str">
        <f>IF(AND(LEN($D29)&gt;0,SUMIF($F$13:$J$13,U$13,$F29:$J29)&gt;0,ASISTENCIA!O28&lt;&gt;"X",ASISTENCIA!O28&lt;&gt;"L",ASISTENCIA!O28&lt;&gt;"J",ASISTENCIA!O28&lt;&gt;"V",ASISTENCIA!O28&lt;&gt;"F",ASISTENCIA!O28&lt;&gt;""),SUMIF($F$13:$J$13,U$13,$F29:$J29),"")</f>
        <v/>
      </c>
      <c r="V29" s="168" t="str">
        <f>IF(AND(LEN($D29)&gt;0,SUMIF($F$13:$J$13,V$13,$F29:$J29)&gt;0,ASISTENCIA!P28&lt;&gt;"X",ASISTENCIA!P28&lt;&gt;"L",ASISTENCIA!P28&lt;&gt;"J",ASISTENCIA!P28&lt;&gt;"V",ASISTENCIA!P28&lt;&gt;"F",ASISTENCIA!P28&lt;&gt;""),SUMIF($F$13:$J$13,V$13,$F29:$J29),"")</f>
        <v/>
      </c>
      <c r="W29" s="168" t="str">
        <f>IF(AND(LEN($D29)&gt;0,SUMIF($F$13:$J$13,W$13,$F29:$J29)&gt;0,ASISTENCIA!Q28&lt;&gt;"X",ASISTENCIA!Q28&lt;&gt;"L",ASISTENCIA!Q28&lt;&gt;"J",ASISTENCIA!Q28&lt;&gt;"V",ASISTENCIA!Q28&lt;&gt;"F",ASISTENCIA!Q28&lt;&gt;""),SUMIF($F$13:$J$13,W$13,$F29:$J29),"")</f>
        <v/>
      </c>
      <c r="X29" s="168" t="str">
        <f>IF(AND(LEN($D29)&gt;0,SUMIF($F$13:$J$13,X$13,$F29:$J29)&gt;0,ASISTENCIA!R28&lt;&gt;"X",ASISTENCIA!R28&lt;&gt;"L",ASISTENCIA!R28&lt;&gt;"J",ASISTENCIA!R28&lt;&gt;"V",ASISTENCIA!R28&lt;&gt;"F",ASISTENCIA!R28&lt;&gt;""),SUMIF($F$13:$J$13,X$13,$F29:$J29),"")</f>
        <v/>
      </c>
      <c r="Y29" s="168" t="str">
        <f>IF(AND(LEN($D29)&gt;0,SUMIF($F$13:$J$13,Y$13,$F29:$J29)&gt;0,ASISTENCIA!S28&lt;&gt;"X",ASISTENCIA!S28&lt;&gt;"L",ASISTENCIA!S28&lt;&gt;"J",ASISTENCIA!S28&lt;&gt;"V",ASISTENCIA!S28&lt;&gt;"F",ASISTENCIA!S28&lt;&gt;""),SUMIF($F$13:$J$13,Y$13,$F29:$J29),"")</f>
        <v/>
      </c>
      <c r="Z29" s="168" t="str">
        <f>IF(AND(LEN($D29)&gt;0,SUMIF($F$13:$J$13,Z$13,$F29:$J29)&gt;0,ASISTENCIA!T28&lt;&gt;"X",ASISTENCIA!T28&lt;&gt;"L",ASISTENCIA!T28&lt;&gt;"J",ASISTENCIA!T28&lt;&gt;"V",ASISTENCIA!T28&lt;&gt;"F",ASISTENCIA!T28&lt;&gt;""),SUMIF($F$13:$J$13,Z$13,$F29:$J29),"")</f>
        <v/>
      </c>
      <c r="AA29" s="168" t="str">
        <f>IF(AND(LEN($D29)&gt;0,SUMIF($F$13:$J$13,AA$13,$F29:$J29)&gt;0,ASISTENCIA!U28&lt;&gt;"X",ASISTENCIA!U28&lt;&gt;"L",ASISTENCIA!U28&lt;&gt;"J",ASISTENCIA!U28&lt;&gt;"V",ASISTENCIA!U28&lt;&gt;"F",ASISTENCIA!U28&lt;&gt;""),SUMIF($F$13:$J$13,AA$13,$F29:$J29),"")</f>
        <v/>
      </c>
      <c r="AB29" s="168" t="str">
        <f>IF(AND(LEN($D29)&gt;0,SUMIF($F$13:$J$13,AB$13,$F29:$J29)&gt;0,ASISTENCIA!V28&lt;&gt;"X",ASISTENCIA!V28&lt;&gt;"L",ASISTENCIA!V28&lt;&gt;"J",ASISTENCIA!V28&lt;&gt;"V",ASISTENCIA!V28&lt;&gt;"F",ASISTENCIA!V28&lt;&gt;""),SUMIF($F$13:$J$13,AB$13,$F29:$J29),"")</f>
        <v/>
      </c>
      <c r="AC29" s="168" t="str">
        <f>IF(AND(LEN($D29)&gt;0,SUMIF($F$13:$J$13,AC$13,$F29:$J29)&gt;0,ASISTENCIA!W28&lt;&gt;"X",ASISTENCIA!W28&lt;&gt;"L",ASISTENCIA!W28&lt;&gt;"J",ASISTENCIA!W28&lt;&gt;"V",ASISTENCIA!W28&lt;&gt;"F",ASISTENCIA!W28&lt;&gt;""),SUMIF($F$13:$J$13,AC$13,$F29:$J29),"")</f>
        <v/>
      </c>
      <c r="AD29" s="168" t="str">
        <f>IF(AND(LEN($D29)&gt;0,SUMIF($F$13:$J$13,AD$13,$F29:$J29)&gt;0,ASISTENCIA!X28&lt;&gt;"X",ASISTENCIA!X28&lt;&gt;"L",ASISTENCIA!X28&lt;&gt;"J",ASISTENCIA!X28&lt;&gt;"V",ASISTENCIA!X28&lt;&gt;"F",ASISTENCIA!X28&lt;&gt;""),SUMIF($F$13:$J$13,AD$13,$F29:$J29),"")</f>
        <v/>
      </c>
      <c r="AE29" s="168" t="str">
        <f>IF(AND(LEN($D29)&gt;0,SUMIF($F$13:$J$13,AE$13,$F29:$J29)&gt;0,ASISTENCIA!Y28&lt;&gt;"X",ASISTENCIA!Y28&lt;&gt;"L",ASISTENCIA!Y28&lt;&gt;"J",ASISTENCIA!Y28&lt;&gt;"V",ASISTENCIA!Y28&lt;&gt;"F",ASISTENCIA!Y28&lt;&gt;""),SUMIF($F$13:$J$13,AE$13,$F29:$J29),"")</f>
        <v/>
      </c>
      <c r="AF29" s="168" t="str">
        <f>IF(AND(LEN($D29)&gt;0,SUMIF($F$13:$J$13,AF$13,$F29:$J29)&gt;0,ASISTENCIA!Z28&lt;&gt;"X",ASISTENCIA!Z28&lt;&gt;"L",ASISTENCIA!Z28&lt;&gt;"J",ASISTENCIA!Z28&lt;&gt;"V",ASISTENCIA!Z28&lt;&gt;"F",ASISTENCIA!Z28&lt;&gt;""),SUMIF($F$13:$J$13,AF$13,$F29:$J29),"")</f>
        <v/>
      </c>
      <c r="AG29" s="168" t="str">
        <f>IF(AND(LEN($D29)&gt;0,SUMIF($F$13:$J$13,AG$13,$F29:$J29)&gt;0,ASISTENCIA!AA28&lt;&gt;"X",ASISTENCIA!AA28&lt;&gt;"L",ASISTENCIA!AA28&lt;&gt;"J",ASISTENCIA!AA28&lt;&gt;"V",ASISTENCIA!AA28&lt;&gt;"F",ASISTENCIA!AA28&lt;&gt;""),SUMIF($F$13:$J$13,AG$13,$F29:$J29),"")</f>
        <v/>
      </c>
      <c r="AH29" s="168" t="str">
        <f>IF(AND(LEN($D29)&gt;0,SUMIF($F$13:$J$13,AH$13,$F29:$J29)&gt;0,ASISTENCIA!AB28&lt;&gt;"X",ASISTENCIA!AB28&lt;&gt;"L",ASISTENCIA!AB28&lt;&gt;"J",ASISTENCIA!AB28&lt;&gt;"V",ASISTENCIA!AB28&lt;&gt;"F",ASISTENCIA!AB28&lt;&gt;""),SUMIF($F$13:$J$13,AH$13,$F29:$J29),"")</f>
        <v/>
      </c>
      <c r="AI29" s="168" t="str">
        <f>IF(AND(LEN($D29)&gt;0,SUMIF($F$13:$J$13,AI$13,$F29:$J29)&gt;0,ASISTENCIA!AC28&lt;&gt;"X",ASISTENCIA!AC28&lt;&gt;"L",ASISTENCIA!AC28&lt;&gt;"J",ASISTENCIA!AC28&lt;&gt;"V",ASISTENCIA!AC28&lt;&gt;"F",ASISTENCIA!AC28&lt;&gt;""),SUMIF($F$13:$J$13,AI$13,$F29:$J29),"")</f>
        <v/>
      </c>
      <c r="AJ29" s="168" t="str">
        <f>IF(AND(LEN($D29)&gt;0,SUMIF($F$13:$J$13,AJ$13,$F29:$J29)&gt;0,ASISTENCIA!AD28&lt;&gt;"X",ASISTENCIA!AD28&lt;&gt;"L",ASISTENCIA!AD28&lt;&gt;"J",ASISTENCIA!AD28&lt;&gt;"V",ASISTENCIA!AD28&lt;&gt;"F",ASISTENCIA!AD28&lt;&gt;""),SUMIF($F$13:$J$13,AJ$13,$F29:$J29),"")</f>
        <v/>
      </c>
      <c r="AK29" s="168" t="str">
        <f>IF(AND(LEN($D29)&gt;0,SUMIF($F$13:$J$13,AK$13,$F29:$J29)&gt;0,ASISTENCIA!AE28&lt;&gt;"X",ASISTENCIA!AE28&lt;&gt;"L",ASISTENCIA!AE28&lt;&gt;"J",ASISTENCIA!AE28&lt;&gt;"V",ASISTENCIA!AE28&lt;&gt;"F",ASISTENCIA!AE28&lt;&gt;""),SUMIF($F$13:$J$13,AK$13,$F29:$J29),"")</f>
        <v/>
      </c>
      <c r="AL29" s="168" t="str">
        <f>IF(AND(LEN($D29)&gt;0,SUMIF($F$13:$J$13,AL$13,$F29:$J29)&gt;0,ASISTENCIA!AF28&lt;&gt;"X",ASISTENCIA!AF28&lt;&gt;"L",ASISTENCIA!AF28&lt;&gt;"J",ASISTENCIA!AF28&lt;&gt;"V",ASISTENCIA!AF28&lt;&gt;"F",ASISTENCIA!AF28&lt;&gt;""),SUMIF($F$13:$J$13,AL$13,$F29:$J29),"")</f>
        <v/>
      </c>
      <c r="AM29" s="168" t="str">
        <f>IF(AND(LEN($D29)&gt;0,SUMIF($F$13:$J$13,AM$13,$F29:$J29)&gt;0,ASISTENCIA!AG28&lt;&gt;"X",ASISTENCIA!AG28&lt;&gt;"L",ASISTENCIA!AG28&lt;&gt;"J",ASISTENCIA!AG28&lt;&gt;"V",ASISTENCIA!AG28&lt;&gt;"F",ASISTENCIA!AG28&lt;&gt;""),SUMIF($F$13:$J$13,AM$13,$F29:$J29),"")</f>
        <v/>
      </c>
      <c r="AN29" s="168" t="str">
        <f>IF(AND(LEN($D29)&gt;0,SUMIF($F$13:$J$13,AN$13,$F29:$J29)&gt;0,ASISTENCIA!AH28&lt;&gt;"X",ASISTENCIA!AH28&lt;&gt;"L",ASISTENCIA!AH28&lt;&gt;"J",ASISTENCIA!AH28&lt;&gt;"V",ASISTENCIA!AH28&lt;&gt;"F",ASISTENCIA!AH28&lt;&gt;""),SUMIF($F$13:$J$13,AN$13,$F29:$J29),"")</f>
        <v/>
      </c>
      <c r="AO29" s="168" t="str">
        <f>IF(AND(LEN($D29)&gt;0,SUMIF($F$13:$J$13,AO$13,$F29:$J29)&gt;0,ASISTENCIA!AI28&lt;&gt;"X",ASISTENCIA!AI28&lt;&gt;"L",ASISTENCIA!AI28&lt;&gt;"J",ASISTENCIA!AI28&lt;&gt;"V",ASISTENCIA!AI28&lt;&gt;"F",ASISTENCIA!AI28&lt;&gt;""),SUMIF($F$13:$J$13,AO$13,$F29:$J29),"")</f>
        <v/>
      </c>
      <c r="AP29" s="168" t="str">
        <f>IF(AND(LEN($D29)&gt;0,SUMIF($F$13:$J$13,AP$13,$F29:$J29)&gt;0,ASISTENCIA!AJ28&lt;&gt;"X",ASISTENCIA!AJ28&lt;&gt;"L",ASISTENCIA!AJ28&lt;&gt;"J",ASISTENCIA!AJ28&lt;&gt;"V",ASISTENCIA!AJ28&lt;&gt;"F",ASISTENCIA!AJ28&lt;&gt;""),SUMIF($F$13:$J$13,AP$13,$F29:$J29),"")</f>
        <v/>
      </c>
      <c r="AQ29" s="168" t="str">
        <f>IF(AND(LEN($D29)&gt;0,SUMIF($F$13:$J$13,AQ$13,$F29:$J29)&gt;0,ASISTENCIA!AK28&lt;&gt;"X",ASISTENCIA!AK28&lt;&gt;"L",ASISTENCIA!AK28&lt;&gt;"J",ASISTENCIA!AK28&lt;&gt;"V",ASISTENCIA!AK28&lt;&gt;"F",ASISTENCIA!AK28&lt;&gt;""),SUMIF($F$13:$J$13,AQ$13,$F29:$J29),"")</f>
        <v/>
      </c>
      <c r="AR29" s="168" t="str">
        <f>IF(AND(LEN($D29)&gt;0,SUMIF($F$13:$J$13,AR$13,$F29:$J29)&gt;0,ASISTENCIA!AL28&lt;&gt;"X",ASISTENCIA!AL28&lt;&gt;"L",ASISTENCIA!AL28&lt;&gt;"J",ASISTENCIA!AL28&lt;&gt;"V",ASISTENCIA!AL28&lt;&gt;"F",ASISTENCIA!AL28&lt;&gt;""),SUMIF($F$13:$J$13,AR$13,$F29:$J29),"")</f>
        <v/>
      </c>
      <c r="AS29" s="168" t="str">
        <f>IF(AND(LEN($D29)&gt;0,SUMIF($F$13:$J$13,AS$13,$F29:$J29)&gt;0,ASISTENCIA!AM28&lt;&gt;"X",ASISTENCIA!AM28&lt;&gt;"L",ASISTENCIA!AM28&lt;&gt;"J",ASISTENCIA!AM28&lt;&gt;"V",ASISTENCIA!AM28&lt;&gt;"F",ASISTENCIA!AM28&lt;&gt;""),SUMIF($F$13:$J$13,AS$13,$F29:$J29),"")</f>
        <v/>
      </c>
      <c r="AT29" s="182" t="str">
        <f t="shared" si="4"/>
        <v/>
      </c>
      <c r="AU29" s="157"/>
      <c r="AV29" s="157"/>
      <c r="AW29" s="157"/>
      <c r="AX29" s="168" t="str">
        <f>IF(AND(LEN($D29)&gt;0,SUMIF($F$13:$J$13,AX$13,$F29:$J29)&gt;0,ASISTENCIA!AU28&lt;&gt;"X",ASISTENCIA!AU28&lt;&gt;"L",ASISTENCIA!AU28&lt;&gt;"J",ASISTENCIA!AU28&lt;&gt;"F"),SUMIF($F$13:$J$13,AX$13,$F29:$J29),"")</f>
        <v/>
      </c>
      <c r="AY29" s="168" t="str">
        <f>IF(AND(LEN($D29)&gt;0,SUMIF($F$13:$J$13,AY$13,$F29:$J29)&gt;0,ASISTENCIA!AV28&lt;&gt;"X",ASISTENCIA!AV28&lt;&gt;"L",ASISTENCIA!AV28&lt;&gt;"J",ASISTENCIA!AV28&lt;&gt;"F"),SUMIF($F$13:$J$13,AY$13,$F29:$J29),"")</f>
        <v/>
      </c>
      <c r="AZ29" s="168" t="str">
        <f>IF(AND(LEN($D29)&gt;0,SUMIF($F$13:$J$13,AZ$13,$F29:$J29)&gt;0,ASISTENCIA!AW28&lt;&gt;"X",ASISTENCIA!AW28&lt;&gt;"L",ASISTENCIA!AW28&lt;&gt;"J",ASISTENCIA!AW28&lt;&gt;"F"),SUMIF($F$13:$J$13,AZ$13,$F29:$J29),"")</f>
        <v/>
      </c>
      <c r="BA29" s="168" t="str">
        <f>IF(AND(LEN($D29)&gt;0,SUMIF($F$13:$J$13,BA$13,$F29:$J29)&gt;0,ASISTENCIA!AX28&lt;&gt;"X",ASISTENCIA!AX28&lt;&gt;"L",ASISTENCIA!AX28&lt;&gt;"J",ASISTENCIA!AX28&lt;&gt;"F"),SUMIF($F$13:$J$13,BA$13,$F29:$J29),"")</f>
        <v/>
      </c>
      <c r="BB29" s="168" t="str">
        <f>IF(AND(LEN($D29)&gt;0,SUMIF($F$13:$J$13,BB$13,$F29:$J29)&gt;0,ASISTENCIA!AY28&lt;&gt;"X",ASISTENCIA!AY28&lt;&gt;"L",ASISTENCIA!AY28&lt;&gt;"J",ASISTENCIA!AY28&lt;&gt;"F"),SUMIF($F$13:$J$13,BB$13,$F29:$J29),"")</f>
        <v/>
      </c>
      <c r="BC29" s="168" t="str">
        <f>IF(AND(LEN($D29)&gt;0,SUMIF($F$13:$J$13,BC$13,$F29:$J29)&gt;0,ASISTENCIA!AZ28&lt;&gt;"X",ASISTENCIA!AZ28&lt;&gt;"L",ASISTENCIA!AZ28&lt;&gt;"J",ASISTENCIA!AZ28&lt;&gt;"F"),SUMIF($F$13:$J$13,BC$13,$F29:$J29),"")</f>
        <v/>
      </c>
      <c r="BD29" s="168" t="str">
        <f>IF(AND(LEN($D29)&gt;0,SUMIF($F$13:$J$13,BD$13,$F29:$J29)&gt;0,ASISTENCIA!BA28&lt;&gt;"X",ASISTENCIA!BA28&lt;&gt;"L",ASISTENCIA!BA28&lt;&gt;"J",ASISTENCIA!BA28&lt;&gt;"F"),SUMIF($F$13:$J$13,BD$13,$F29:$J29),"")</f>
        <v/>
      </c>
      <c r="BE29" s="168" t="str">
        <f>IF(AND(LEN($D29)&gt;0,SUMIF($F$13:$J$13,BE$13,$F29:$J29)&gt;0,ASISTENCIA!BB28&lt;&gt;"X",ASISTENCIA!BB28&lt;&gt;"L",ASISTENCIA!BB28&lt;&gt;"J",ASISTENCIA!BB28&lt;&gt;"F"),SUMIF($F$13:$J$13,BE$13,$F29:$J29),"")</f>
        <v/>
      </c>
      <c r="BF29" s="168" t="str">
        <f>IF(AND(LEN($D29)&gt;0,SUMIF($F$13:$J$13,BF$13,$F29:$J29)&gt;0,ASISTENCIA!#REF!&lt;&gt;"X",ASISTENCIA!#REF!&lt;&gt;"L",ASISTENCIA!#REF!&lt;&gt;"J",ASISTENCIA!#REF!&lt;&gt;"F"),SUMIF($F$13:$J$13,BF$13,$F29:$J29),"")</f>
        <v>#ERROR!</v>
      </c>
      <c r="BG29" s="168" t="str">
        <f>IF(AND(LEN($D29)&gt;0,SUMIF($F$13:$J$13,BG$13,$F29:$J29)&gt;0,ASISTENCIA!#REF!&lt;&gt;"X",ASISTENCIA!#REF!&lt;&gt;"L",ASISTENCIA!#REF!&lt;&gt;"J",ASISTENCIA!#REF!&lt;&gt;"F"),SUMIF($F$13:$J$13,BG$13,$F29:$J29),"")</f>
        <v>#ERROR!</v>
      </c>
      <c r="BH29" s="168" t="str">
        <f>IF(AND(LEN($D29)&gt;0,SUMIF($F$13:$J$13,BH$13,$F29:$J29)&gt;0,ASISTENCIA!BE28&lt;&gt;"X",ASISTENCIA!BE28&lt;&gt;"L",ASISTENCIA!BE28&lt;&gt;"J",ASISTENCIA!BE28&lt;&gt;"F"),SUMIF($F$13:$J$13,BH$13,$F29:$J29),"")</f>
        <v/>
      </c>
      <c r="BI29" s="168" t="str">
        <f>IF(AND(LEN($D29)&gt;0,SUMIF($F$13:$J$13,BI$13,$F29:$J29)&gt;0,ASISTENCIA!BF28&lt;&gt;"X",ASISTENCIA!BF28&lt;&gt;"L",ASISTENCIA!BF28&lt;&gt;"J",ASISTENCIA!BF28&lt;&gt;"F"),SUMIF($F$13:$J$13,BI$13,$F29:$J29),"")</f>
        <v/>
      </c>
      <c r="BJ29" s="168" t="str">
        <f>IF(AND(LEN($D29)&gt;0,SUMIF($F$13:$J$13,BJ$13,$F29:$J29)&gt;0,ASISTENCIA!BG28&lt;&gt;"X",ASISTENCIA!BG28&lt;&gt;"L",ASISTENCIA!BG28&lt;&gt;"J",ASISTENCIA!BG28&lt;&gt;"F"),SUMIF($F$13:$J$13,BJ$13,$F29:$J29),"")</f>
        <v/>
      </c>
      <c r="BK29" s="168" t="str">
        <f>IF(AND(LEN($D29)&gt;0,SUMIF($F$13:$J$13,BK$13,$F29:$J29)&gt;0,ASISTENCIA!BH28&lt;&gt;"X",ASISTENCIA!BH28&lt;&gt;"L",ASISTENCIA!BH28&lt;&gt;"J",ASISTENCIA!BH28&lt;&gt;"F"),SUMIF($F$13:$J$13,BK$13,$F29:$J29),"")</f>
        <v/>
      </c>
      <c r="BL29" s="168" t="str">
        <f>IF(AND(LEN($D29)&gt;0,SUMIF($F$13:$J$13,BL$13,$F29:$J29)&gt;0,ASISTENCIA!BI28&lt;&gt;"X",ASISTENCIA!BI28&lt;&gt;"L",ASISTENCIA!BI28&lt;&gt;"J",ASISTENCIA!BI28&lt;&gt;"F"),SUMIF($F$13:$J$13,BL$13,$F29:$J29),"")</f>
        <v/>
      </c>
      <c r="BM29" s="168" t="str">
        <f>IF(AND(LEN($D29)&gt;0,SUMIF($F$13:$J$13,BM$13,$F29:$J29)&gt;0,ASISTENCIA!BJ28&lt;&gt;"X",ASISTENCIA!BJ28&lt;&gt;"L",ASISTENCIA!BJ28&lt;&gt;"J",ASISTENCIA!BJ28&lt;&gt;"F"),SUMIF($F$13:$J$13,BM$13,$F29:$J29),"")</f>
        <v/>
      </c>
      <c r="BN29" s="168" t="str">
        <f>IF(AND(LEN($D29)&gt;0,SUMIF($F$13:$J$13,BN$13,$F29:$J29)&gt;0,ASISTENCIA!BK28&lt;&gt;"X",ASISTENCIA!BK28&lt;&gt;"L",ASISTENCIA!BK28&lt;&gt;"J",ASISTENCIA!BK28&lt;&gt;"F"),SUMIF($F$13:$J$13,BN$13,$F29:$J29),"")</f>
        <v/>
      </c>
      <c r="BO29" s="168" t="str">
        <f>IF(AND(LEN($D29)&gt;0,SUMIF($F$13:$J$13,BO$13,$F29:$J29)&gt;0,ASISTENCIA!BL28&lt;&gt;"X",ASISTENCIA!BL28&lt;&gt;"L",ASISTENCIA!BL28&lt;&gt;"J",ASISTENCIA!BL28&lt;&gt;"F"),SUMIF($F$13:$J$13,BO$13,$F29:$J29),"")</f>
        <v/>
      </c>
      <c r="BP29" s="168" t="str">
        <f>IF(AND(LEN($D29)&gt;0,SUMIF($F$13:$J$13,BP$13,$F29:$J29)&gt;0,ASISTENCIA!BM28&lt;&gt;"X",ASISTENCIA!BM28&lt;&gt;"L",ASISTENCIA!BM28&lt;&gt;"J",ASISTENCIA!BM28&lt;&gt;"F"),SUMIF($F$13:$J$13,BP$13,$F29:$J29),"")</f>
        <v/>
      </c>
      <c r="BQ29" s="168" t="str">
        <f>IF(AND(LEN($D29)&gt;0,SUMIF($F$13:$J$13,BQ$13,$F29:$J29)&gt;0,ASISTENCIA!BN28&lt;&gt;"X",ASISTENCIA!BN28&lt;&gt;"L",ASISTENCIA!BN28&lt;&gt;"J",ASISTENCIA!BN28&lt;&gt;"F"),SUMIF($F$13:$J$13,BQ$13,$F29:$J29),"")</f>
        <v/>
      </c>
      <c r="BR29" s="168" t="str">
        <f>IF(AND(LEN($D29)&gt;0,SUMIF($F$13:$J$13,BR$13,$F29:$J29)&gt;0,ASISTENCIA!BO28&lt;&gt;"X",ASISTENCIA!BO28&lt;&gt;"L",ASISTENCIA!BO28&lt;&gt;"J",ASISTENCIA!BO28&lt;&gt;"F"),SUMIF($F$13:$J$13,BR$13,$F29:$J29),"")</f>
        <v/>
      </c>
      <c r="BS29" s="168" t="str">
        <f>IF(AND(LEN($D29)&gt;0,SUMIF($F$13:$J$13,BS$13,$F29:$J29)&gt;0,ASISTENCIA!BP28&lt;&gt;"X",ASISTENCIA!BP28&lt;&gt;"L",ASISTENCIA!BP28&lt;&gt;"J",ASISTENCIA!BP28&lt;&gt;"F"),SUMIF($F$13:$J$13,BS$13,$F29:$J29),"")</f>
        <v/>
      </c>
      <c r="BT29" s="168" t="str">
        <f>IF(AND(LEN($D29)&gt;0,SUMIF($F$13:$J$13,BT$13,$F29:$J29)&gt;0,ASISTENCIA!BQ28&lt;&gt;"X",ASISTENCIA!BQ28&lt;&gt;"L",ASISTENCIA!BQ28&lt;&gt;"J",ASISTENCIA!BQ28&lt;&gt;"F"),SUMIF($F$13:$J$13,BT$13,$F29:$J29),"")</f>
        <v/>
      </c>
      <c r="BU29" s="168" t="str">
        <f>IF(AND(LEN($D29)&gt;0,SUMIF($F$13:$J$13,BU$13,$F29:$J29)&gt;0,ASISTENCIA!BR28&lt;&gt;"X",ASISTENCIA!BR28&lt;&gt;"L",ASISTENCIA!BR28&lt;&gt;"J",ASISTENCIA!BR28&lt;&gt;"F"),SUMIF($F$13:$J$13,BU$13,$F29:$J29),"")</f>
        <v/>
      </c>
      <c r="BV29" s="168" t="str">
        <f>IF(AND(LEN($D29)&gt;0,SUMIF($F$13:$J$13,BV$13,$F29:$J29)&gt;0,ASISTENCIA!BS28&lt;&gt;"X",ASISTENCIA!BS28&lt;&gt;"L",ASISTENCIA!BS28&lt;&gt;"J",ASISTENCIA!BS28&lt;&gt;"F"),SUMIF($F$13:$J$13,BV$13,$F29:$J29),"")</f>
        <v/>
      </c>
      <c r="BW29" s="168" t="str">
        <f>IF(AND(LEN($D29)&gt;0,SUMIF($F$13:$J$13,BW$13,$F29:$J29)&gt;0,ASISTENCIA!BT28&lt;&gt;"X",ASISTENCIA!BT28&lt;&gt;"L",ASISTENCIA!BT28&lt;&gt;"J",ASISTENCIA!BT28&lt;&gt;"F"),SUMIF($F$13:$J$13,BW$13,$F29:$J29),"")</f>
        <v/>
      </c>
      <c r="BX29" s="168" t="str">
        <f>IF(AND(LEN($D29)&gt;0,SUMIF($F$13:$J$13,BX$13,$F29:$J29)&gt;0,ASISTENCIA!BU28&lt;&gt;"X",ASISTENCIA!BU28&lt;&gt;"L",ASISTENCIA!BU28&lt;&gt;"J",ASISTENCIA!BU28&lt;&gt;"F"),SUMIF($F$13:$J$13,BX$13,$F29:$J29),"")</f>
        <v/>
      </c>
      <c r="BY29" s="168" t="str">
        <f>IF(AND(LEN($D29)&gt;0,SUMIF($F$13:$J$13,BY$13,$F29:$J29)&gt;0,ASISTENCIA!BV28&lt;&gt;"X",ASISTENCIA!BV28&lt;&gt;"L",ASISTENCIA!BV28&lt;&gt;"J",ASISTENCIA!BV28&lt;&gt;"F"),SUMIF($F$13:$J$13,BY$13,$F29:$J29),"")</f>
        <v/>
      </c>
      <c r="BZ29" s="168" t="str">
        <f>IF(AND(LEN($D29)&gt;0,SUMIF($F$13:$J$13,BZ$13,$F29:$J29)&gt;0,ASISTENCIA!BW28&lt;&gt;"X",ASISTENCIA!BW28&lt;&gt;"L",ASISTENCIA!BW28&lt;&gt;"J",ASISTENCIA!BW28&lt;&gt;"F"),SUMIF($F$13:$J$13,BZ$13,$F29:$J29),"")</f>
        <v/>
      </c>
      <c r="CA29" s="168" t="str">
        <f>IF(AND(LEN($D29)&gt;0,SUMIF($F$13:$J$13,CA$13,$F29:$J29)&gt;0,ASISTENCIA!BX28&lt;&gt;"X",ASISTENCIA!BX28&lt;&gt;"L",ASISTENCIA!BX28&lt;&gt;"J",ASISTENCIA!BX28&lt;&gt;"F"),SUMIF($F$13:$J$13,CA$13,$F29:$J29),"")</f>
        <v/>
      </c>
      <c r="CB29" s="168" t="str">
        <f>IF(AND(LEN($D29)&gt;0,SUMIF($F$13:$J$13,CB$13,$F29:$J29)&gt;0,ASISTENCIA!BY28&lt;&gt;"X",ASISTENCIA!BY28&lt;&gt;"L",ASISTENCIA!BY28&lt;&gt;"J",ASISTENCIA!BY28&lt;&gt;"F"),SUMIF($F$13:$J$13,CB$13,$F29:$J29),"")</f>
        <v/>
      </c>
      <c r="CC29" s="182" t="str">
        <f t="shared" si="5"/>
        <v>#ERROR!</v>
      </c>
      <c r="CD29" s="157"/>
    </row>
    <row r="30" ht="12.75" customHeight="1">
      <c r="A30" s="132" t="str">
        <f t="shared" si="6"/>
        <v/>
      </c>
      <c r="B30" s="183" t="str">
        <f>IF(LEN(C30)&gt;0,VLOOKUP($O$4,DATA!$A$1:$S$1,2,FALSE),"")</f>
        <v/>
      </c>
      <c r="C30" s="184" t="str">
        <f t="shared" si="1"/>
        <v/>
      </c>
      <c r="D30" s="136" t="str">
        <f>IF(LEN(ASISTENCIA!E29)&gt;0,ASISTENCIA!E29,"")</f>
        <v/>
      </c>
      <c r="E30" s="167" t="str">
        <f>IF(LEN(D30)&gt;0,ASISTENCIA!F29,"")</f>
        <v/>
      </c>
      <c r="F30" s="180"/>
      <c r="G30" s="180"/>
      <c r="H30" s="180"/>
      <c r="I30" s="180"/>
      <c r="J30" s="180"/>
      <c r="K30" s="168" t="str">
        <f t="shared" si="2"/>
        <v/>
      </c>
      <c r="L30" s="185"/>
      <c r="M30" s="168"/>
      <c r="N30" s="168" t="str">
        <f t="shared" si="3"/>
        <v>#ERROR!</v>
      </c>
      <c r="O30" s="168" t="str">
        <f>IF(AND(LEN($D30)&gt;0,SUMIF($F$13:$J$13,O$13,$F30:$J30)&gt;0,ASISTENCIA!I29&lt;&gt;"X",ASISTENCIA!I29&lt;&gt;"L",ASISTENCIA!I29&lt;&gt;"J",ASISTENCIA!I29&lt;&gt;"V",ASISTENCIA!I29&lt;&gt;"F",ASISTENCIA!I29&lt;&gt;""),SUMIF($F$13:$J$13,O$13,$F30:$J30),"")</f>
        <v/>
      </c>
      <c r="P30" s="168" t="str">
        <f>IF(AND(LEN($D30)&gt;0,SUMIF($F$13:$J$13,P$13,$F30:$J30)&gt;0,ASISTENCIA!J29&lt;&gt;"X",ASISTENCIA!J29&lt;&gt;"L",ASISTENCIA!J29&lt;&gt;"J",ASISTENCIA!J29&lt;&gt;"V",ASISTENCIA!J29&lt;&gt;"F",ASISTENCIA!J29&lt;&gt;""),SUMIF($F$13:$J$13,P$13,$F30:$J30),"")</f>
        <v/>
      </c>
      <c r="Q30" s="168" t="str">
        <f>IF(AND(LEN($D30)&gt;0,SUMIF($F$13:$J$13,Q$13,$F30:$J30)&gt;0,ASISTENCIA!K29&lt;&gt;"X",ASISTENCIA!K29&lt;&gt;"L",ASISTENCIA!K29&lt;&gt;"J",ASISTENCIA!K29&lt;&gt;"V",ASISTENCIA!K29&lt;&gt;"F",ASISTENCIA!K29&lt;&gt;""),SUMIF($F$13:$J$13,Q$13,$F30:$J30),"")</f>
        <v/>
      </c>
      <c r="R30" s="168" t="str">
        <f>IF(AND(LEN($D30)&gt;0,SUMIF($F$13:$J$13,R$13,$F30:$J30)&gt;0,ASISTENCIA!L29&lt;&gt;"X",ASISTENCIA!L29&lt;&gt;"L",ASISTENCIA!L29&lt;&gt;"J",ASISTENCIA!L29&lt;&gt;"V",ASISTENCIA!L29&lt;&gt;"F",ASISTENCIA!L29&lt;&gt;""),SUMIF($F$13:$J$13,R$13,$F30:$J30),"")</f>
        <v/>
      </c>
      <c r="S30" s="168" t="str">
        <f>IF(AND(LEN($D30)&gt;0,SUMIF($F$13:$J$13,S$13,$F30:$J30)&gt;0,ASISTENCIA!M29&lt;&gt;"X",ASISTENCIA!M29&lt;&gt;"L",ASISTENCIA!M29&lt;&gt;"J",ASISTENCIA!M29&lt;&gt;"V",ASISTENCIA!M29&lt;&gt;"F",ASISTENCIA!M29&lt;&gt;""),SUMIF($F$13:$J$13,S$13,$F30:$J30),"")</f>
        <v/>
      </c>
      <c r="T30" s="168" t="str">
        <f>IF(AND(LEN($D30)&gt;0,SUMIF($F$13:$J$13,T$13,$F30:$J30)&gt;0,ASISTENCIA!N29&lt;&gt;"X",ASISTENCIA!N29&lt;&gt;"L",ASISTENCIA!N29&lt;&gt;"J",ASISTENCIA!N29&lt;&gt;"V",ASISTENCIA!N29&lt;&gt;"F",ASISTENCIA!N29&lt;&gt;""),SUMIF($F$13:$J$13,T$13,$F30:$J30),"")</f>
        <v/>
      </c>
      <c r="U30" s="168" t="str">
        <f>IF(AND(LEN($D30)&gt;0,SUMIF($F$13:$J$13,U$13,$F30:$J30)&gt;0,ASISTENCIA!O29&lt;&gt;"X",ASISTENCIA!O29&lt;&gt;"L",ASISTENCIA!O29&lt;&gt;"J",ASISTENCIA!O29&lt;&gt;"V",ASISTENCIA!O29&lt;&gt;"F",ASISTENCIA!O29&lt;&gt;""),SUMIF($F$13:$J$13,U$13,$F30:$J30),"")</f>
        <v/>
      </c>
      <c r="V30" s="168" t="str">
        <f>IF(AND(LEN($D30)&gt;0,SUMIF($F$13:$J$13,V$13,$F30:$J30)&gt;0,ASISTENCIA!P29&lt;&gt;"X",ASISTENCIA!P29&lt;&gt;"L",ASISTENCIA!P29&lt;&gt;"J",ASISTENCIA!P29&lt;&gt;"V",ASISTENCIA!P29&lt;&gt;"F",ASISTENCIA!P29&lt;&gt;""),SUMIF($F$13:$J$13,V$13,$F30:$J30),"")</f>
        <v/>
      </c>
      <c r="W30" s="168" t="str">
        <f>IF(AND(LEN($D30)&gt;0,SUMIF($F$13:$J$13,W$13,$F30:$J30)&gt;0,ASISTENCIA!Q29&lt;&gt;"X",ASISTENCIA!Q29&lt;&gt;"L",ASISTENCIA!Q29&lt;&gt;"J",ASISTENCIA!Q29&lt;&gt;"V",ASISTENCIA!Q29&lt;&gt;"F",ASISTENCIA!Q29&lt;&gt;""),SUMIF($F$13:$J$13,W$13,$F30:$J30),"")</f>
        <v/>
      </c>
      <c r="X30" s="168" t="str">
        <f>IF(AND(LEN($D30)&gt;0,SUMIF($F$13:$J$13,X$13,$F30:$J30)&gt;0,ASISTENCIA!R29&lt;&gt;"X",ASISTENCIA!R29&lt;&gt;"L",ASISTENCIA!R29&lt;&gt;"J",ASISTENCIA!R29&lt;&gt;"V",ASISTENCIA!R29&lt;&gt;"F",ASISTENCIA!R29&lt;&gt;""),SUMIF($F$13:$J$13,X$13,$F30:$J30),"")</f>
        <v/>
      </c>
      <c r="Y30" s="168" t="str">
        <f>IF(AND(LEN($D30)&gt;0,SUMIF($F$13:$J$13,Y$13,$F30:$J30)&gt;0,ASISTENCIA!S29&lt;&gt;"X",ASISTENCIA!S29&lt;&gt;"L",ASISTENCIA!S29&lt;&gt;"J",ASISTENCIA!S29&lt;&gt;"V",ASISTENCIA!S29&lt;&gt;"F",ASISTENCIA!S29&lt;&gt;""),SUMIF($F$13:$J$13,Y$13,$F30:$J30),"")</f>
        <v/>
      </c>
      <c r="Z30" s="168" t="str">
        <f>IF(AND(LEN($D30)&gt;0,SUMIF($F$13:$J$13,Z$13,$F30:$J30)&gt;0,ASISTENCIA!T29&lt;&gt;"X",ASISTENCIA!T29&lt;&gt;"L",ASISTENCIA!T29&lt;&gt;"J",ASISTENCIA!T29&lt;&gt;"V",ASISTENCIA!T29&lt;&gt;"F",ASISTENCIA!T29&lt;&gt;""),SUMIF($F$13:$J$13,Z$13,$F30:$J30),"")</f>
        <v/>
      </c>
      <c r="AA30" s="168" t="str">
        <f>IF(AND(LEN($D30)&gt;0,SUMIF($F$13:$J$13,AA$13,$F30:$J30)&gt;0,ASISTENCIA!U29&lt;&gt;"X",ASISTENCIA!U29&lt;&gt;"L",ASISTENCIA!U29&lt;&gt;"J",ASISTENCIA!U29&lt;&gt;"V",ASISTENCIA!U29&lt;&gt;"F",ASISTENCIA!U29&lt;&gt;""),SUMIF($F$13:$J$13,AA$13,$F30:$J30),"")</f>
        <v/>
      </c>
      <c r="AB30" s="168" t="str">
        <f>IF(AND(LEN($D30)&gt;0,SUMIF($F$13:$J$13,AB$13,$F30:$J30)&gt;0,ASISTENCIA!V29&lt;&gt;"X",ASISTENCIA!V29&lt;&gt;"L",ASISTENCIA!V29&lt;&gt;"J",ASISTENCIA!V29&lt;&gt;"V",ASISTENCIA!V29&lt;&gt;"F",ASISTENCIA!V29&lt;&gt;""),SUMIF($F$13:$J$13,AB$13,$F30:$J30),"")</f>
        <v/>
      </c>
      <c r="AC30" s="168" t="str">
        <f>IF(AND(LEN($D30)&gt;0,SUMIF($F$13:$J$13,AC$13,$F30:$J30)&gt;0,ASISTENCIA!W29&lt;&gt;"X",ASISTENCIA!W29&lt;&gt;"L",ASISTENCIA!W29&lt;&gt;"J",ASISTENCIA!W29&lt;&gt;"V",ASISTENCIA!W29&lt;&gt;"F",ASISTENCIA!W29&lt;&gt;""),SUMIF($F$13:$J$13,AC$13,$F30:$J30),"")</f>
        <v/>
      </c>
      <c r="AD30" s="168" t="str">
        <f>IF(AND(LEN($D30)&gt;0,SUMIF($F$13:$J$13,AD$13,$F30:$J30)&gt;0,ASISTENCIA!X29&lt;&gt;"X",ASISTENCIA!X29&lt;&gt;"L",ASISTENCIA!X29&lt;&gt;"J",ASISTENCIA!X29&lt;&gt;"V",ASISTENCIA!X29&lt;&gt;"F",ASISTENCIA!X29&lt;&gt;""),SUMIF($F$13:$J$13,AD$13,$F30:$J30),"")</f>
        <v/>
      </c>
      <c r="AE30" s="168" t="str">
        <f>IF(AND(LEN($D30)&gt;0,SUMIF($F$13:$J$13,AE$13,$F30:$J30)&gt;0,ASISTENCIA!Y29&lt;&gt;"X",ASISTENCIA!Y29&lt;&gt;"L",ASISTENCIA!Y29&lt;&gt;"J",ASISTENCIA!Y29&lt;&gt;"V",ASISTENCIA!Y29&lt;&gt;"F",ASISTENCIA!Y29&lt;&gt;""),SUMIF($F$13:$J$13,AE$13,$F30:$J30),"")</f>
        <v/>
      </c>
      <c r="AF30" s="168" t="str">
        <f>IF(AND(LEN($D30)&gt;0,SUMIF($F$13:$J$13,AF$13,$F30:$J30)&gt;0,ASISTENCIA!Z29&lt;&gt;"X",ASISTENCIA!Z29&lt;&gt;"L",ASISTENCIA!Z29&lt;&gt;"J",ASISTENCIA!Z29&lt;&gt;"V",ASISTENCIA!Z29&lt;&gt;"F",ASISTENCIA!Z29&lt;&gt;""),SUMIF($F$13:$J$13,AF$13,$F30:$J30),"")</f>
        <v/>
      </c>
      <c r="AG30" s="168" t="str">
        <f>IF(AND(LEN($D30)&gt;0,SUMIF($F$13:$J$13,AG$13,$F30:$J30)&gt;0,ASISTENCIA!AA29&lt;&gt;"X",ASISTENCIA!AA29&lt;&gt;"L",ASISTENCIA!AA29&lt;&gt;"J",ASISTENCIA!AA29&lt;&gt;"V",ASISTENCIA!AA29&lt;&gt;"F",ASISTENCIA!AA29&lt;&gt;""),SUMIF($F$13:$J$13,AG$13,$F30:$J30),"")</f>
        <v/>
      </c>
      <c r="AH30" s="168" t="str">
        <f>IF(AND(LEN($D30)&gt;0,SUMIF($F$13:$J$13,AH$13,$F30:$J30)&gt;0,ASISTENCIA!AB29&lt;&gt;"X",ASISTENCIA!AB29&lt;&gt;"L",ASISTENCIA!AB29&lt;&gt;"J",ASISTENCIA!AB29&lt;&gt;"V",ASISTENCIA!AB29&lt;&gt;"F",ASISTENCIA!AB29&lt;&gt;""),SUMIF($F$13:$J$13,AH$13,$F30:$J30),"")</f>
        <v/>
      </c>
      <c r="AI30" s="168" t="str">
        <f>IF(AND(LEN($D30)&gt;0,SUMIF($F$13:$J$13,AI$13,$F30:$J30)&gt;0,ASISTENCIA!AC29&lt;&gt;"X",ASISTENCIA!AC29&lt;&gt;"L",ASISTENCIA!AC29&lt;&gt;"J",ASISTENCIA!AC29&lt;&gt;"V",ASISTENCIA!AC29&lt;&gt;"F",ASISTENCIA!AC29&lt;&gt;""),SUMIF($F$13:$J$13,AI$13,$F30:$J30),"")</f>
        <v/>
      </c>
      <c r="AJ30" s="168" t="str">
        <f>IF(AND(LEN($D30)&gt;0,SUMIF($F$13:$J$13,AJ$13,$F30:$J30)&gt;0,ASISTENCIA!AD29&lt;&gt;"X",ASISTENCIA!AD29&lt;&gt;"L",ASISTENCIA!AD29&lt;&gt;"J",ASISTENCIA!AD29&lt;&gt;"V",ASISTENCIA!AD29&lt;&gt;"F",ASISTENCIA!AD29&lt;&gt;""),SUMIF($F$13:$J$13,AJ$13,$F30:$J30),"")</f>
        <v/>
      </c>
      <c r="AK30" s="168" t="str">
        <f>IF(AND(LEN($D30)&gt;0,SUMIF($F$13:$J$13,AK$13,$F30:$J30)&gt;0,ASISTENCIA!AE29&lt;&gt;"X",ASISTENCIA!AE29&lt;&gt;"L",ASISTENCIA!AE29&lt;&gt;"J",ASISTENCIA!AE29&lt;&gt;"V",ASISTENCIA!AE29&lt;&gt;"F",ASISTENCIA!AE29&lt;&gt;""),SUMIF($F$13:$J$13,AK$13,$F30:$J30),"")</f>
        <v/>
      </c>
      <c r="AL30" s="168" t="str">
        <f>IF(AND(LEN($D30)&gt;0,SUMIF($F$13:$J$13,AL$13,$F30:$J30)&gt;0,ASISTENCIA!AF29&lt;&gt;"X",ASISTENCIA!AF29&lt;&gt;"L",ASISTENCIA!AF29&lt;&gt;"J",ASISTENCIA!AF29&lt;&gt;"V",ASISTENCIA!AF29&lt;&gt;"F",ASISTENCIA!AF29&lt;&gt;""),SUMIF($F$13:$J$13,AL$13,$F30:$J30),"")</f>
        <v/>
      </c>
      <c r="AM30" s="168" t="str">
        <f>IF(AND(LEN($D30)&gt;0,SUMIF($F$13:$J$13,AM$13,$F30:$J30)&gt;0,ASISTENCIA!AG29&lt;&gt;"X",ASISTENCIA!AG29&lt;&gt;"L",ASISTENCIA!AG29&lt;&gt;"J",ASISTENCIA!AG29&lt;&gt;"V",ASISTENCIA!AG29&lt;&gt;"F",ASISTENCIA!AG29&lt;&gt;""),SUMIF($F$13:$J$13,AM$13,$F30:$J30),"")</f>
        <v/>
      </c>
      <c r="AN30" s="168" t="str">
        <f>IF(AND(LEN($D30)&gt;0,SUMIF($F$13:$J$13,AN$13,$F30:$J30)&gt;0,ASISTENCIA!AH29&lt;&gt;"X",ASISTENCIA!AH29&lt;&gt;"L",ASISTENCIA!AH29&lt;&gt;"J",ASISTENCIA!AH29&lt;&gt;"V",ASISTENCIA!AH29&lt;&gt;"F",ASISTENCIA!AH29&lt;&gt;""),SUMIF($F$13:$J$13,AN$13,$F30:$J30),"")</f>
        <v/>
      </c>
      <c r="AO30" s="168" t="str">
        <f>IF(AND(LEN($D30)&gt;0,SUMIF($F$13:$J$13,AO$13,$F30:$J30)&gt;0,ASISTENCIA!AI29&lt;&gt;"X",ASISTENCIA!AI29&lt;&gt;"L",ASISTENCIA!AI29&lt;&gt;"J",ASISTENCIA!AI29&lt;&gt;"V",ASISTENCIA!AI29&lt;&gt;"F",ASISTENCIA!AI29&lt;&gt;""),SUMIF($F$13:$J$13,AO$13,$F30:$J30),"")</f>
        <v/>
      </c>
      <c r="AP30" s="168" t="str">
        <f>IF(AND(LEN($D30)&gt;0,SUMIF($F$13:$J$13,AP$13,$F30:$J30)&gt;0,ASISTENCIA!AJ29&lt;&gt;"X",ASISTENCIA!AJ29&lt;&gt;"L",ASISTENCIA!AJ29&lt;&gt;"J",ASISTENCIA!AJ29&lt;&gt;"V",ASISTENCIA!AJ29&lt;&gt;"F",ASISTENCIA!AJ29&lt;&gt;""),SUMIF($F$13:$J$13,AP$13,$F30:$J30),"")</f>
        <v/>
      </c>
      <c r="AQ30" s="168" t="str">
        <f>IF(AND(LEN($D30)&gt;0,SUMIF($F$13:$J$13,AQ$13,$F30:$J30)&gt;0,ASISTENCIA!AK29&lt;&gt;"X",ASISTENCIA!AK29&lt;&gt;"L",ASISTENCIA!AK29&lt;&gt;"J",ASISTENCIA!AK29&lt;&gt;"V",ASISTENCIA!AK29&lt;&gt;"F",ASISTENCIA!AK29&lt;&gt;""),SUMIF($F$13:$J$13,AQ$13,$F30:$J30),"")</f>
        <v/>
      </c>
      <c r="AR30" s="168" t="str">
        <f>IF(AND(LEN($D30)&gt;0,SUMIF($F$13:$J$13,AR$13,$F30:$J30)&gt;0,ASISTENCIA!AL29&lt;&gt;"X",ASISTENCIA!AL29&lt;&gt;"L",ASISTENCIA!AL29&lt;&gt;"J",ASISTENCIA!AL29&lt;&gt;"V",ASISTENCIA!AL29&lt;&gt;"F",ASISTENCIA!AL29&lt;&gt;""),SUMIF($F$13:$J$13,AR$13,$F30:$J30),"")</f>
        <v/>
      </c>
      <c r="AS30" s="168" t="str">
        <f>IF(AND(LEN($D30)&gt;0,SUMIF($F$13:$J$13,AS$13,$F30:$J30)&gt;0,ASISTENCIA!AM29&lt;&gt;"X",ASISTENCIA!AM29&lt;&gt;"L",ASISTENCIA!AM29&lt;&gt;"J",ASISTENCIA!AM29&lt;&gt;"V",ASISTENCIA!AM29&lt;&gt;"F",ASISTENCIA!AM29&lt;&gt;""),SUMIF($F$13:$J$13,AS$13,$F30:$J30),"")</f>
        <v/>
      </c>
      <c r="AT30" s="182" t="str">
        <f t="shared" si="4"/>
        <v/>
      </c>
      <c r="AU30" s="157"/>
      <c r="AV30" s="157"/>
      <c r="AW30" s="157"/>
      <c r="AX30" s="168" t="str">
        <f>IF(AND(LEN($D30)&gt;0,SUMIF($F$13:$J$13,AX$13,$F30:$J30)&gt;0,ASISTENCIA!AU29&lt;&gt;"X",ASISTENCIA!AU29&lt;&gt;"L",ASISTENCIA!AU29&lt;&gt;"J",ASISTENCIA!AU29&lt;&gt;"F"),SUMIF($F$13:$J$13,AX$13,$F30:$J30),"")</f>
        <v/>
      </c>
      <c r="AY30" s="168" t="str">
        <f>IF(AND(LEN($D30)&gt;0,SUMIF($F$13:$J$13,AY$13,$F30:$J30)&gt;0,ASISTENCIA!AV29&lt;&gt;"X",ASISTENCIA!AV29&lt;&gt;"L",ASISTENCIA!AV29&lt;&gt;"J",ASISTENCIA!AV29&lt;&gt;"F"),SUMIF($F$13:$J$13,AY$13,$F30:$J30),"")</f>
        <v/>
      </c>
      <c r="AZ30" s="168" t="str">
        <f>IF(AND(LEN($D30)&gt;0,SUMIF($F$13:$J$13,AZ$13,$F30:$J30)&gt;0,ASISTENCIA!AW29&lt;&gt;"X",ASISTENCIA!AW29&lt;&gt;"L",ASISTENCIA!AW29&lt;&gt;"J",ASISTENCIA!AW29&lt;&gt;"F"),SUMIF($F$13:$J$13,AZ$13,$F30:$J30),"")</f>
        <v/>
      </c>
      <c r="BA30" s="168" t="str">
        <f>IF(AND(LEN($D30)&gt;0,SUMIF($F$13:$J$13,BA$13,$F30:$J30)&gt;0,ASISTENCIA!AX29&lt;&gt;"X",ASISTENCIA!AX29&lt;&gt;"L",ASISTENCIA!AX29&lt;&gt;"J",ASISTENCIA!AX29&lt;&gt;"F"),SUMIF($F$13:$J$13,BA$13,$F30:$J30),"")</f>
        <v/>
      </c>
      <c r="BB30" s="168" t="str">
        <f>IF(AND(LEN($D30)&gt;0,SUMIF($F$13:$J$13,BB$13,$F30:$J30)&gt;0,ASISTENCIA!AY29&lt;&gt;"X",ASISTENCIA!AY29&lt;&gt;"L",ASISTENCIA!AY29&lt;&gt;"J",ASISTENCIA!AY29&lt;&gt;"F"),SUMIF($F$13:$J$13,BB$13,$F30:$J30),"")</f>
        <v/>
      </c>
      <c r="BC30" s="168" t="str">
        <f>IF(AND(LEN($D30)&gt;0,SUMIF($F$13:$J$13,BC$13,$F30:$J30)&gt;0,ASISTENCIA!AZ29&lt;&gt;"X",ASISTENCIA!AZ29&lt;&gt;"L",ASISTENCIA!AZ29&lt;&gt;"J",ASISTENCIA!AZ29&lt;&gt;"F"),SUMIF($F$13:$J$13,BC$13,$F30:$J30),"")</f>
        <v/>
      </c>
      <c r="BD30" s="168" t="str">
        <f>IF(AND(LEN($D30)&gt;0,SUMIF($F$13:$J$13,BD$13,$F30:$J30)&gt;0,ASISTENCIA!BA29&lt;&gt;"X",ASISTENCIA!BA29&lt;&gt;"L",ASISTENCIA!BA29&lt;&gt;"J",ASISTENCIA!BA29&lt;&gt;"F"),SUMIF($F$13:$J$13,BD$13,$F30:$J30),"")</f>
        <v/>
      </c>
      <c r="BE30" s="168" t="str">
        <f>IF(AND(LEN($D30)&gt;0,SUMIF($F$13:$J$13,BE$13,$F30:$J30)&gt;0,ASISTENCIA!BB29&lt;&gt;"X",ASISTENCIA!BB29&lt;&gt;"L",ASISTENCIA!BB29&lt;&gt;"J",ASISTENCIA!BB29&lt;&gt;"F"),SUMIF($F$13:$J$13,BE$13,$F30:$J30),"")</f>
        <v/>
      </c>
      <c r="BF30" s="168" t="str">
        <f>IF(AND(LEN($D30)&gt;0,SUMIF($F$13:$J$13,BF$13,$F30:$J30)&gt;0,ASISTENCIA!#REF!&lt;&gt;"X",ASISTENCIA!#REF!&lt;&gt;"L",ASISTENCIA!#REF!&lt;&gt;"J",ASISTENCIA!#REF!&lt;&gt;"F"),SUMIF($F$13:$J$13,BF$13,$F30:$J30),"")</f>
        <v>#ERROR!</v>
      </c>
      <c r="BG30" s="168" t="str">
        <f>IF(AND(LEN($D30)&gt;0,SUMIF($F$13:$J$13,BG$13,$F30:$J30)&gt;0,ASISTENCIA!#REF!&lt;&gt;"X",ASISTENCIA!#REF!&lt;&gt;"L",ASISTENCIA!#REF!&lt;&gt;"J",ASISTENCIA!#REF!&lt;&gt;"F"),SUMIF($F$13:$J$13,BG$13,$F30:$J30),"")</f>
        <v>#ERROR!</v>
      </c>
      <c r="BH30" s="168" t="str">
        <f>IF(AND(LEN($D30)&gt;0,SUMIF($F$13:$J$13,BH$13,$F30:$J30)&gt;0,ASISTENCIA!BE29&lt;&gt;"X",ASISTENCIA!BE29&lt;&gt;"L",ASISTENCIA!BE29&lt;&gt;"J",ASISTENCIA!BE29&lt;&gt;"F"),SUMIF($F$13:$J$13,BH$13,$F30:$J30),"")</f>
        <v/>
      </c>
      <c r="BI30" s="168" t="str">
        <f>IF(AND(LEN($D30)&gt;0,SUMIF($F$13:$J$13,BI$13,$F30:$J30)&gt;0,ASISTENCIA!BF29&lt;&gt;"X",ASISTENCIA!BF29&lt;&gt;"L",ASISTENCIA!BF29&lt;&gt;"J",ASISTENCIA!BF29&lt;&gt;"F"),SUMIF($F$13:$J$13,BI$13,$F30:$J30),"")</f>
        <v/>
      </c>
      <c r="BJ30" s="168" t="str">
        <f>IF(AND(LEN($D30)&gt;0,SUMIF($F$13:$J$13,BJ$13,$F30:$J30)&gt;0,ASISTENCIA!BG29&lt;&gt;"X",ASISTENCIA!BG29&lt;&gt;"L",ASISTENCIA!BG29&lt;&gt;"J",ASISTENCIA!BG29&lt;&gt;"F"),SUMIF($F$13:$J$13,BJ$13,$F30:$J30),"")</f>
        <v/>
      </c>
      <c r="BK30" s="168" t="str">
        <f>IF(AND(LEN($D30)&gt;0,SUMIF($F$13:$J$13,BK$13,$F30:$J30)&gt;0,ASISTENCIA!BH29&lt;&gt;"X",ASISTENCIA!BH29&lt;&gt;"L",ASISTENCIA!BH29&lt;&gt;"J",ASISTENCIA!BH29&lt;&gt;"F"),SUMIF($F$13:$J$13,BK$13,$F30:$J30),"")</f>
        <v/>
      </c>
      <c r="BL30" s="168" t="str">
        <f>IF(AND(LEN($D30)&gt;0,SUMIF($F$13:$J$13,BL$13,$F30:$J30)&gt;0,ASISTENCIA!BI29&lt;&gt;"X",ASISTENCIA!BI29&lt;&gt;"L",ASISTENCIA!BI29&lt;&gt;"J",ASISTENCIA!BI29&lt;&gt;"F"),SUMIF($F$13:$J$13,BL$13,$F30:$J30),"")</f>
        <v/>
      </c>
      <c r="BM30" s="168" t="str">
        <f>IF(AND(LEN($D30)&gt;0,SUMIF($F$13:$J$13,BM$13,$F30:$J30)&gt;0,ASISTENCIA!BJ29&lt;&gt;"X",ASISTENCIA!BJ29&lt;&gt;"L",ASISTENCIA!BJ29&lt;&gt;"J",ASISTENCIA!BJ29&lt;&gt;"F"),SUMIF($F$13:$J$13,BM$13,$F30:$J30),"")</f>
        <v/>
      </c>
      <c r="BN30" s="168" t="str">
        <f>IF(AND(LEN($D30)&gt;0,SUMIF($F$13:$J$13,BN$13,$F30:$J30)&gt;0,ASISTENCIA!BK29&lt;&gt;"X",ASISTENCIA!BK29&lt;&gt;"L",ASISTENCIA!BK29&lt;&gt;"J",ASISTENCIA!BK29&lt;&gt;"F"),SUMIF($F$13:$J$13,BN$13,$F30:$J30),"")</f>
        <v/>
      </c>
      <c r="BO30" s="168" t="str">
        <f>IF(AND(LEN($D30)&gt;0,SUMIF($F$13:$J$13,BO$13,$F30:$J30)&gt;0,ASISTENCIA!BL29&lt;&gt;"X",ASISTENCIA!BL29&lt;&gt;"L",ASISTENCIA!BL29&lt;&gt;"J",ASISTENCIA!BL29&lt;&gt;"F"),SUMIF($F$13:$J$13,BO$13,$F30:$J30),"")</f>
        <v/>
      </c>
      <c r="BP30" s="168" t="str">
        <f>IF(AND(LEN($D30)&gt;0,SUMIF($F$13:$J$13,BP$13,$F30:$J30)&gt;0,ASISTENCIA!BM29&lt;&gt;"X",ASISTENCIA!BM29&lt;&gt;"L",ASISTENCIA!BM29&lt;&gt;"J",ASISTENCIA!BM29&lt;&gt;"F"),SUMIF($F$13:$J$13,BP$13,$F30:$J30),"")</f>
        <v/>
      </c>
      <c r="BQ30" s="168" t="str">
        <f>IF(AND(LEN($D30)&gt;0,SUMIF($F$13:$J$13,BQ$13,$F30:$J30)&gt;0,ASISTENCIA!BN29&lt;&gt;"X",ASISTENCIA!BN29&lt;&gt;"L",ASISTENCIA!BN29&lt;&gt;"J",ASISTENCIA!BN29&lt;&gt;"F"),SUMIF($F$13:$J$13,BQ$13,$F30:$J30),"")</f>
        <v/>
      </c>
      <c r="BR30" s="168" t="str">
        <f>IF(AND(LEN($D30)&gt;0,SUMIF($F$13:$J$13,BR$13,$F30:$J30)&gt;0,ASISTENCIA!BO29&lt;&gt;"X",ASISTENCIA!BO29&lt;&gt;"L",ASISTENCIA!BO29&lt;&gt;"J",ASISTENCIA!BO29&lt;&gt;"F"),SUMIF($F$13:$J$13,BR$13,$F30:$J30),"")</f>
        <v/>
      </c>
      <c r="BS30" s="168" t="str">
        <f>IF(AND(LEN($D30)&gt;0,SUMIF($F$13:$J$13,BS$13,$F30:$J30)&gt;0,ASISTENCIA!BP29&lt;&gt;"X",ASISTENCIA!BP29&lt;&gt;"L",ASISTENCIA!BP29&lt;&gt;"J",ASISTENCIA!BP29&lt;&gt;"F"),SUMIF($F$13:$J$13,BS$13,$F30:$J30),"")</f>
        <v/>
      </c>
      <c r="BT30" s="168" t="str">
        <f>IF(AND(LEN($D30)&gt;0,SUMIF($F$13:$J$13,BT$13,$F30:$J30)&gt;0,ASISTENCIA!BQ29&lt;&gt;"X",ASISTENCIA!BQ29&lt;&gt;"L",ASISTENCIA!BQ29&lt;&gt;"J",ASISTENCIA!BQ29&lt;&gt;"F"),SUMIF($F$13:$J$13,BT$13,$F30:$J30),"")</f>
        <v/>
      </c>
      <c r="BU30" s="168" t="str">
        <f>IF(AND(LEN($D30)&gt;0,SUMIF($F$13:$J$13,BU$13,$F30:$J30)&gt;0,ASISTENCIA!BR29&lt;&gt;"X",ASISTENCIA!BR29&lt;&gt;"L",ASISTENCIA!BR29&lt;&gt;"J",ASISTENCIA!BR29&lt;&gt;"F"),SUMIF($F$13:$J$13,BU$13,$F30:$J30),"")</f>
        <v/>
      </c>
      <c r="BV30" s="168" t="str">
        <f>IF(AND(LEN($D30)&gt;0,SUMIF($F$13:$J$13,BV$13,$F30:$J30)&gt;0,ASISTENCIA!BS29&lt;&gt;"X",ASISTENCIA!BS29&lt;&gt;"L",ASISTENCIA!BS29&lt;&gt;"J",ASISTENCIA!BS29&lt;&gt;"F"),SUMIF($F$13:$J$13,BV$13,$F30:$J30),"")</f>
        <v/>
      </c>
      <c r="BW30" s="168" t="str">
        <f>IF(AND(LEN($D30)&gt;0,SUMIF($F$13:$J$13,BW$13,$F30:$J30)&gt;0,ASISTENCIA!BT29&lt;&gt;"X",ASISTENCIA!BT29&lt;&gt;"L",ASISTENCIA!BT29&lt;&gt;"J",ASISTENCIA!BT29&lt;&gt;"F"),SUMIF($F$13:$J$13,BW$13,$F30:$J30),"")</f>
        <v/>
      </c>
      <c r="BX30" s="168" t="str">
        <f>IF(AND(LEN($D30)&gt;0,SUMIF($F$13:$J$13,BX$13,$F30:$J30)&gt;0,ASISTENCIA!BU29&lt;&gt;"X",ASISTENCIA!BU29&lt;&gt;"L",ASISTENCIA!BU29&lt;&gt;"J",ASISTENCIA!BU29&lt;&gt;"F"),SUMIF($F$13:$J$13,BX$13,$F30:$J30),"")</f>
        <v/>
      </c>
      <c r="BY30" s="168" t="str">
        <f>IF(AND(LEN($D30)&gt;0,SUMIF($F$13:$J$13,BY$13,$F30:$J30)&gt;0,ASISTENCIA!BV29&lt;&gt;"X",ASISTENCIA!BV29&lt;&gt;"L",ASISTENCIA!BV29&lt;&gt;"J",ASISTENCIA!BV29&lt;&gt;"F"),SUMIF($F$13:$J$13,BY$13,$F30:$J30),"")</f>
        <v/>
      </c>
      <c r="BZ30" s="168" t="str">
        <f>IF(AND(LEN($D30)&gt;0,SUMIF($F$13:$J$13,BZ$13,$F30:$J30)&gt;0,ASISTENCIA!BW29&lt;&gt;"X",ASISTENCIA!BW29&lt;&gt;"L",ASISTENCIA!BW29&lt;&gt;"J",ASISTENCIA!BW29&lt;&gt;"F"),SUMIF($F$13:$J$13,BZ$13,$F30:$J30),"")</f>
        <v/>
      </c>
      <c r="CA30" s="168" t="str">
        <f>IF(AND(LEN($D30)&gt;0,SUMIF($F$13:$J$13,CA$13,$F30:$J30)&gt;0,ASISTENCIA!BX29&lt;&gt;"X",ASISTENCIA!BX29&lt;&gt;"L",ASISTENCIA!BX29&lt;&gt;"J",ASISTENCIA!BX29&lt;&gt;"F"),SUMIF($F$13:$J$13,CA$13,$F30:$J30),"")</f>
        <v/>
      </c>
      <c r="CB30" s="168" t="str">
        <f>IF(AND(LEN($D30)&gt;0,SUMIF($F$13:$J$13,CB$13,$F30:$J30)&gt;0,ASISTENCIA!BY29&lt;&gt;"X",ASISTENCIA!BY29&lt;&gt;"L",ASISTENCIA!BY29&lt;&gt;"J",ASISTENCIA!BY29&lt;&gt;"F"),SUMIF($F$13:$J$13,CB$13,$F30:$J30),"")</f>
        <v/>
      </c>
      <c r="CC30" s="182" t="str">
        <f t="shared" si="5"/>
        <v>#ERROR!</v>
      </c>
      <c r="CD30" s="157"/>
    </row>
    <row r="31" ht="12.75" customHeight="1">
      <c r="A31" s="132" t="str">
        <f t="shared" si="6"/>
        <v/>
      </c>
      <c r="B31" s="183" t="str">
        <f>IF(LEN(C31)&gt;0,VLOOKUP($O$4,DATA!$A$1:$S$1,2,FALSE),"")</f>
        <v/>
      </c>
      <c r="C31" s="184" t="str">
        <f t="shared" si="1"/>
        <v/>
      </c>
      <c r="D31" s="136" t="str">
        <f>IF(LEN(ASISTENCIA!E30)&gt;0,ASISTENCIA!E30,"")</f>
        <v/>
      </c>
      <c r="E31" s="167" t="str">
        <f>IF(LEN(D31)&gt;0,ASISTENCIA!F30,"")</f>
        <v/>
      </c>
      <c r="F31" s="180"/>
      <c r="G31" s="180"/>
      <c r="H31" s="180"/>
      <c r="I31" s="180"/>
      <c r="J31" s="180"/>
      <c r="K31" s="168" t="str">
        <f t="shared" si="2"/>
        <v/>
      </c>
      <c r="L31" s="185"/>
      <c r="M31" s="168"/>
      <c r="N31" s="168" t="str">
        <f t="shared" si="3"/>
        <v>#ERROR!</v>
      </c>
      <c r="O31" s="168" t="str">
        <f>IF(AND(LEN($D31)&gt;0,SUMIF($F$13:$J$13,O$13,$F31:$J31)&gt;0,ASISTENCIA!I30&lt;&gt;"X",ASISTENCIA!I30&lt;&gt;"L",ASISTENCIA!I30&lt;&gt;"J",ASISTENCIA!I30&lt;&gt;"V",ASISTENCIA!I30&lt;&gt;"F",ASISTENCIA!I30&lt;&gt;""),SUMIF($F$13:$J$13,O$13,$F31:$J31),"")</f>
        <v/>
      </c>
      <c r="P31" s="168" t="str">
        <f>IF(AND(LEN($D31)&gt;0,SUMIF($F$13:$J$13,P$13,$F31:$J31)&gt;0,ASISTENCIA!J30&lt;&gt;"X",ASISTENCIA!J30&lt;&gt;"L",ASISTENCIA!J30&lt;&gt;"J",ASISTENCIA!J30&lt;&gt;"V",ASISTENCIA!J30&lt;&gt;"F",ASISTENCIA!J30&lt;&gt;""),SUMIF($F$13:$J$13,P$13,$F31:$J31),"")</f>
        <v/>
      </c>
      <c r="Q31" s="168" t="str">
        <f>IF(AND(LEN($D31)&gt;0,SUMIF($F$13:$J$13,Q$13,$F31:$J31)&gt;0,ASISTENCIA!K30&lt;&gt;"X",ASISTENCIA!K30&lt;&gt;"L",ASISTENCIA!K30&lt;&gt;"J",ASISTENCIA!K30&lt;&gt;"V",ASISTENCIA!K30&lt;&gt;"F",ASISTENCIA!K30&lt;&gt;""),SUMIF($F$13:$J$13,Q$13,$F31:$J31),"")</f>
        <v/>
      </c>
      <c r="R31" s="168" t="str">
        <f>IF(AND(LEN($D31)&gt;0,SUMIF($F$13:$J$13,R$13,$F31:$J31)&gt;0,ASISTENCIA!L30&lt;&gt;"X",ASISTENCIA!L30&lt;&gt;"L",ASISTENCIA!L30&lt;&gt;"J",ASISTENCIA!L30&lt;&gt;"V",ASISTENCIA!L30&lt;&gt;"F",ASISTENCIA!L30&lt;&gt;""),SUMIF($F$13:$J$13,R$13,$F31:$J31),"")</f>
        <v/>
      </c>
      <c r="S31" s="168" t="str">
        <f>IF(AND(LEN($D31)&gt;0,SUMIF($F$13:$J$13,S$13,$F31:$J31)&gt;0,ASISTENCIA!M30&lt;&gt;"X",ASISTENCIA!M30&lt;&gt;"L",ASISTENCIA!M30&lt;&gt;"J",ASISTENCIA!M30&lt;&gt;"V",ASISTENCIA!M30&lt;&gt;"F",ASISTENCIA!M30&lt;&gt;""),SUMIF($F$13:$J$13,S$13,$F31:$J31),"")</f>
        <v/>
      </c>
      <c r="T31" s="168" t="str">
        <f>IF(AND(LEN($D31)&gt;0,SUMIF($F$13:$J$13,T$13,$F31:$J31)&gt;0,ASISTENCIA!N30&lt;&gt;"X",ASISTENCIA!N30&lt;&gt;"L",ASISTENCIA!N30&lt;&gt;"J",ASISTENCIA!N30&lt;&gt;"V",ASISTENCIA!N30&lt;&gt;"F",ASISTENCIA!N30&lt;&gt;""),SUMIF($F$13:$J$13,T$13,$F31:$J31),"")</f>
        <v/>
      </c>
      <c r="U31" s="168" t="str">
        <f>IF(AND(LEN($D31)&gt;0,SUMIF($F$13:$J$13,U$13,$F31:$J31)&gt;0,ASISTENCIA!O30&lt;&gt;"X",ASISTENCIA!O30&lt;&gt;"L",ASISTENCIA!O30&lt;&gt;"J",ASISTENCIA!O30&lt;&gt;"V",ASISTENCIA!O30&lt;&gt;"F",ASISTENCIA!O30&lt;&gt;""),SUMIF($F$13:$J$13,U$13,$F31:$J31),"")</f>
        <v/>
      </c>
      <c r="V31" s="168" t="str">
        <f>IF(AND(LEN($D31)&gt;0,SUMIF($F$13:$J$13,V$13,$F31:$J31)&gt;0,ASISTENCIA!P30&lt;&gt;"X",ASISTENCIA!P30&lt;&gt;"L",ASISTENCIA!P30&lt;&gt;"J",ASISTENCIA!P30&lt;&gt;"V",ASISTENCIA!P30&lt;&gt;"F",ASISTENCIA!P30&lt;&gt;""),SUMIF($F$13:$J$13,V$13,$F31:$J31),"")</f>
        <v/>
      </c>
      <c r="W31" s="168" t="str">
        <f>IF(AND(LEN($D31)&gt;0,SUMIF($F$13:$J$13,W$13,$F31:$J31)&gt;0,ASISTENCIA!Q30&lt;&gt;"X",ASISTENCIA!Q30&lt;&gt;"L",ASISTENCIA!Q30&lt;&gt;"J",ASISTENCIA!Q30&lt;&gt;"V",ASISTENCIA!Q30&lt;&gt;"F",ASISTENCIA!Q30&lt;&gt;""),SUMIF($F$13:$J$13,W$13,$F31:$J31),"")</f>
        <v/>
      </c>
      <c r="X31" s="168" t="str">
        <f>IF(AND(LEN($D31)&gt;0,SUMIF($F$13:$J$13,X$13,$F31:$J31)&gt;0,ASISTENCIA!R30&lt;&gt;"X",ASISTENCIA!R30&lt;&gt;"L",ASISTENCIA!R30&lt;&gt;"J",ASISTENCIA!R30&lt;&gt;"V",ASISTENCIA!R30&lt;&gt;"F",ASISTENCIA!R30&lt;&gt;""),SUMIF($F$13:$J$13,X$13,$F31:$J31),"")</f>
        <v/>
      </c>
      <c r="Y31" s="168" t="str">
        <f>IF(AND(LEN($D31)&gt;0,SUMIF($F$13:$J$13,Y$13,$F31:$J31)&gt;0,ASISTENCIA!S30&lt;&gt;"X",ASISTENCIA!S30&lt;&gt;"L",ASISTENCIA!S30&lt;&gt;"J",ASISTENCIA!S30&lt;&gt;"V",ASISTENCIA!S30&lt;&gt;"F",ASISTENCIA!S30&lt;&gt;""),SUMIF($F$13:$J$13,Y$13,$F31:$J31),"")</f>
        <v/>
      </c>
      <c r="Z31" s="168" t="str">
        <f>IF(AND(LEN($D31)&gt;0,SUMIF($F$13:$J$13,Z$13,$F31:$J31)&gt;0,ASISTENCIA!T30&lt;&gt;"X",ASISTENCIA!T30&lt;&gt;"L",ASISTENCIA!T30&lt;&gt;"J",ASISTENCIA!T30&lt;&gt;"V",ASISTENCIA!T30&lt;&gt;"F",ASISTENCIA!T30&lt;&gt;""),SUMIF($F$13:$J$13,Z$13,$F31:$J31),"")</f>
        <v/>
      </c>
      <c r="AA31" s="168" t="str">
        <f>IF(AND(LEN($D31)&gt;0,SUMIF($F$13:$J$13,AA$13,$F31:$J31)&gt;0,ASISTENCIA!U30&lt;&gt;"X",ASISTENCIA!U30&lt;&gt;"L",ASISTENCIA!U30&lt;&gt;"J",ASISTENCIA!U30&lt;&gt;"V",ASISTENCIA!U30&lt;&gt;"F",ASISTENCIA!U30&lt;&gt;""),SUMIF($F$13:$J$13,AA$13,$F31:$J31),"")</f>
        <v/>
      </c>
      <c r="AB31" s="168" t="str">
        <f>IF(AND(LEN($D31)&gt;0,SUMIF($F$13:$J$13,AB$13,$F31:$J31)&gt;0,ASISTENCIA!V30&lt;&gt;"X",ASISTENCIA!V30&lt;&gt;"L",ASISTENCIA!V30&lt;&gt;"J",ASISTENCIA!V30&lt;&gt;"V",ASISTENCIA!V30&lt;&gt;"F",ASISTENCIA!V30&lt;&gt;""),SUMIF($F$13:$J$13,AB$13,$F31:$J31),"")</f>
        <v/>
      </c>
      <c r="AC31" s="168" t="str">
        <f>IF(AND(LEN($D31)&gt;0,SUMIF($F$13:$J$13,AC$13,$F31:$J31)&gt;0,ASISTENCIA!W30&lt;&gt;"X",ASISTENCIA!W30&lt;&gt;"L",ASISTENCIA!W30&lt;&gt;"J",ASISTENCIA!W30&lt;&gt;"V",ASISTENCIA!W30&lt;&gt;"F",ASISTENCIA!W30&lt;&gt;""),SUMIF($F$13:$J$13,AC$13,$F31:$J31),"")</f>
        <v/>
      </c>
      <c r="AD31" s="168" t="str">
        <f>IF(AND(LEN($D31)&gt;0,SUMIF($F$13:$J$13,AD$13,$F31:$J31)&gt;0,ASISTENCIA!X30&lt;&gt;"X",ASISTENCIA!X30&lt;&gt;"L",ASISTENCIA!X30&lt;&gt;"J",ASISTENCIA!X30&lt;&gt;"V",ASISTENCIA!X30&lt;&gt;"F",ASISTENCIA!X30&lt;&gt;""),SUMIF($F$13:$J$13,AD$13,$F31:$J31),"")</f>
        <v/>
      </c>
      <c r="AE31" s="168" t="str">
        <f>IF(AND(LEN($D31)&gt;0,SUMIF($F$13:$J$13,AE$13,$F31:$J31)&gt;0,ASISTENCIA!Y30&lt;&gt;"X",ASISTENCIA!Y30&lt;&gt;"L",ASISTENCIA!Y30&lt;&gt;"J",ASISTENCIA!Y30&lt;&gt;"V",ASISTENCIA!Y30&lt;&gt;"F",ASISTENCIA!Y30&lt;&gt;""),SUMIF($F$13:$J$13,AE$13,$F31:$J31),"")</f>
        <v/>
      </c>
      <c r="AF31" s="168" t="str">
        <f>IF(AND(LEN($D31)&gt;0,SUMIF($F$13:$J$13,AF$13,$F31:$J31)&gt;0,ASISTENCIA!Z30&lt;&gt;"X",ASISTENCIA!Z30&lt;&gt;"L",ASISTENCIA!Z30&lt;&gt;"J",ASISTENCIA!Z30&lt;&gt;"V",ASISTENCIA!Z30&lt;&gt;"F",ASISTENCIA!Z30&lt;&gt;""),SUMIF($F$13:$J$13,AF$13,$F31:$J31),"")</f>
        <v/>
      </c>
      <c r="AG31" s="168" t="str">
        <f>IF(AND(LEN($D31)&gt;0,SUMIF($F$13:$J$13,AG$13,$F31:$J31)&gt;0,ASISTENCIA!AA30&lt;&gt;"X",ASISTENCIA!AA30&lt;&gt;"L",ASISTENCIA!AA30&lt;&gt;"J",ASISTENCIA!AA30&lt;&gt;"V",ASISTENCIA!AA30&lt;&gt;"F",ASISTENCIA!AA30&lt;&gt;""),SUMIF($F$13:$J$13,AG$13,$F31:$J31),"")</f>
        <v/>
      </c>
      <c r="AH31" s="168" t="str">
        <f>IF(AND(LEN($D31)&gt;0,SUMIF($F$13:$J$13,AH$13,$F31:$J31)&gt;0,ASISTENCIA!AB30&lt;&gt;"X",ASISTENCIA!AB30&lt;&gt;"L",ASISTENCIA!AB30&lt;&gt;"J",ASISTENCIA!AB30&lt;&gt;"V",ASISTENCIA!AB30&lt;&gt;"F",ASISTENCIA!AB30&lt;&gt;""),SUMIF($F$13:$J$13,AH$13,$F31:$J31),"")</f>
        <v/>
      </c>
      <c r="AI31" s="168" t="str">
        <f>IF(AND(LEN($D31)&gt;0,SUMIF($F$13:$J$13,AI$13,$F31:$J31)&gt;0,ASISTENCIA!AC30&lt;&gt;"X",ASISTENCIA!AC30&lt;&gt;"L",ASISTENCIA!AC30&lt;&gt;"J",ASISTENCIA!AC30&lt;&gt;"V",ASISTENCIA!AC30&lt;&gt;"F",ASISTENCIA!AC30&lt;&gt;""),SUMIF($F$13:$J$13,AI$13,$F31:$J31),"")</f>
        <v/>
      </c>
      <c r="AJ31" s="168" t="str">
        <f>IF(AND(LEN($D31)&gt;0,SUMIF($F$13:$J$13,AJ$13,$F31:$J31)&gt;0,ASISTENCIA!AD30&lt;&gt;"X",ASISTENCIA!AD30&lt;&gt;"L",ASISTENCIA!AD30&lt;&gt;"J",ASISTENCIA!AD30&lt;&gt;"V",ASISTENCIA!AD30&lt;&gt;"F",ASISTENCIA!AD30&lt;&gt;""),SUMIF($F$13:$J$13,AJ$13,$F31:$J31),"")</f>
        <v/>
      </c>
      <c r="AK31" s="168" t="str">
        <f>IF(AND(LEN($D31)&gt;0,SUMIF($F$13:$J$13,AK$13,$F31:$J31)&gt;0,ASISTENCIA!AE30&lt;&gt;"X",ASISTENCIA!AE30&lt;&gt;"L",ASISTENCIA!AE30&lt;&gt;"J",ASISTENCIA!AE30&lt;&gt;"V",ASISTENCIA!AE30&lt;&gt;"F",ASISTENCIA!AE30&lt;&gt;""),SUMIF($F$13:$J$13,AK$13,$F31:$J31),"")</f>
        <v/>
      </c>
      <c r="AL31" s="168" t="str">
        <f>IF(AND(LEN($D31)&gt;0,SUMIF($F$13:$J$13,AL$13,$F31:$J31)&gt;0,ASISTENCIA!AF30&lt;&gt;"X",ASISTENCIA!AF30&lt;&gt;"L",ASISTENCIA!AF30&lt;&gt;"J",ASISTENCIA!AF30&lt;&gt;"V",ASISTENCIA!AF30&lt;&gt;"F",ASISTENCIA!AF30&lt;&gt;""),SUMIF($F$13:$J$13,AL$13,$F31:$J31),"")</f>
        <v/>
      </c>
      <c r="AM31" s="168" t="str">
        <f>IF(AND(LEN($D31)&gt;0,SUMIF($F$13:$J$13,AM$13,$F31:$J31)&gt;0,ASISTENCIA!AG30&lt;&gt;"X",ASISTENCIA!AG30&lt;&gt;"L",ASISTENCIA!AG30&lt;&gt;"J",ASISTENCIA!AG30&lt;&gt;"V",ASISTENCIA!AG30&lt;&gt;"F",ASISTENCIA!AG30&lt;&gt;""),SUMIF($F$13:$J$13,AM$13,$F31:$J31),"")</f>
        <v/>
      </c>
      <c r="AN31" s="168" t="str">
        <f>IF(AND(LEN($D31)&gt;0,SUMIF($F$13:$J$13,AN$13,$F31:$J31)&gt;0,ASISTENCIA!AH30&lt;&gt;"X",ASISTENCIA!AH30&lt;&gt;"L",ASISTENCIA!AH30&lt;&gt;"J",ASISTENCIA!AH30&lt;&gt;"V",ASISTENCIA!AH30&lt;&gt;"F",ASISTENCIA!AH30&lt;&gt;""),SUMIF($F$13:$J$13,AN$13,$F31:$J31),"")</f>
        <v/>
      </c>
      <c r="AO31" s="168" t="str">
        <f>IF(AND(LEN($D31)&gt;0,SUMIF($F$13:$J$13,AO$13,$F31:$J31)&gt;0,ASISTENCIA!AI30&lt;&gt;"X",ASISTENCIA!AI30&lt;&gt;"L",ASISTENCIA!AI30&lt;&gt;"J",ASISTENCIA!AI30&lt;&gt;"V",ASISTENCIA!AI30&lt;&gt;"F",ASISTENCIA!AI30&lt;&gt;""),SUMIF($F$13:$J$13,AO$13,$F31:$J31),"")</f>
        <v/>
      </c>
      <c r="AP31" s="168" t="str">
        <f>IF(AND(LEN($D31)&gt;0,SUMIF($F$13:$J$13,AP$13,$F31:$J31)&gt;0,ASISTENCIA!AJ30&lt;&gt;"X",ASISTENCIA!AJ30&lt;&gt;"L",ASISTENCIA!AJ30&lt;&gt;"J",ASISTENCIA!AJ30&lt;&gt;"V",ASISTENCIA!AJ30&lt;&gt;"F",ASISTENCIA!AJ30&lt;&gt;""),SUMIF($F$13:$J$13,AP$13,$F31:$J31),"")</f>
        <v/>
      </c>
      <c r="AQ31" s="168" t="str">
        <f>IF(AND(LEN($D31)&gt;0,SUMIF($F$13:$J$13,AQ$13,$F31:$J31)&gt;0,ASISTENCIA!AK30&lt;&gt;"X",ASISTENCIA!AK30&lt;&gt;"L",ASISTENCIA!AK30&lt;&gt;"J",ASISTENCIA!AK30&lt;&gt;"V",ASISTENCIA!AK30&lt;&gt;"F",ASISTENCIA!AK30&lt;&gt;""),SUMIF($F$13:$J$13,AQ$13,$F31:$J31),"")</f>
        <v/>
      </c>
      <c r="AR31" s="168" t="str">
        <f>IF(AND(LEN($D31)&gt;0,SUMIF($F$13:$J$13,AR$13,$F31:$J31)&gt;0,ASISTENCIA!AL30&lt;&gt;"X",ASISTENCIA!AL30&lt;&gt;"L",ASISTENCIA!AL30&lt;&gt;"J",ASISTENCIA!AL30&lt;&gt;"V",ASISTENCIA!AL30&lt;&gt;"F",ASISTENCIA!AL30&lt;&gt;""),SUMIF($F$13:$J$13,AR$13,$F31:$J31),"")</f>
        <v/>
      </c>
      <c r="AS31" s="168" t="str">
        <f>IF(AND(LEN($D31)&gt;0,SUMIF($F$13:$J$13,AS$13,$F31:$J31)&gt;0,ASISTENCIA!AM30&lt;&gt;"X",ASISTENCIA!AM30&lt;&gt;"L",ASISTENCIA!AM30&lt;&gt;"J",ASISTENCIA!AM30&lt;&gt;"V",ASISTENCIA!AM30&lt;&gt;"F",ASISTENCIA!AM30&lt;&gt;""),SUMIF($F$13:$J$13,AS$13,$F31:$J31),"")</f>
        <v/>
      </c>
      <c r="AT31" s="182" t="str">
        <f t="shared" si="4"/>
        <v/>
      </c>
      <c r="AU31" s="157"/>
      <c r="AV31" s="157"/>
      <c r="AW31" s="157"/>
      <c r="AX31" s="168" t="str">
        <f>IF(AND(LEN($D31)&gt;0,SUMIF($F$13:$J$13,AX$13,$F31:$J31)&gt;0,ASISTENCIA!AU30&lt;&gt;"X",ASISTENCIA!AU30&lt;&gt;"L",ASISTENCIA!AU30&lt;&gt;"J",ASISTENCIA!AU30&lt;&gt;"F"),SUMIF($F$13:$J$13,AX$13,$F31:$J31),"")</f>
        <v/>
      </c>
      <c r="AY31" s="168" t="str">
        <f>IF(AND(LEN($D31)&gt;0,SUMIF($F$13:$J$13,AY$13,$F31:$J31)&gt;0,ASISTENCIA!AV30&lt;&gt;"X",ASISTENCIA!AV30&lt;&gt;"L",ASISTENCIA!AV30&lt;&gt;"J",ASISTENCIA!AV30&lt;&gt;"F"),SUMIF($F$13:$J$13,AY$13,$F31:$J31),"")</f>
        <v/>
      </c>
      <c r="AZ31" s="168" t="str">
        <f>IF(AND(LEN($D31)&gt;0,SUMIF($F$13:$J$13,AZ$13,$F31:$J31)&gt;0,ASISTENCIA!AW30&lt;&gt;"X",ASISTENCIA!AW30&lt;&gt;"L",ASISTENCIA!AW30&lt;&gt;"J",ASISTENCIA!AW30&lt;&gt;"F"),SUMIF($F$13:$J$13,AZ$13,$F31:$J31),"")</f>
        <v/>
      </c>
      <c r="BA31" s="168" t="str">
        <f>IF(AND(LEN($D31)&gt;0,SUMIF($F$13:$J$13,BA$13,$F31:$J31)&gt;0,ASISTENCIA!AX30&lt;&gt;"X",ASISTENCIA!AX30&lt;&gt;"L",ASISTENCIA!AX30&lt;&gt;"J",ASISTENCIA!AX30&lt;&gt;"F"),SUMIF($F$13:$J$13,BA$13,$F31:$J31),"")</f>
        <v/>
      </c>
      <c r="BB31" s="168" t="str">
        <f>IF(AND(LEN($D31)&gt;0,SUMIF($F$13:$J$13,BB$13,$F31:$J31)&gt;0,ASISTENCIA!AY30&lt;&gt;"X",ASISTENCIA!AY30&lt;&gt;"L",ASISTENCIA!AY30&lt;&gt;"J",ASISTENCIA!AY30&lt;&gt;"F"),SUMIF($F$13:$J$13,BB$13,$F31:$J31),"")</f>
        <v/>
      </c>
      <c r="BC31" s="168" t="str">
        <f>IF(AND(LEN($D31)&gt;0,SUMIF($F$13:$J$13,BC$13,$F31:$J31)&gt;0,ASISTENCIA!AZ30&lt;&gt;"X",ASISTENCIA!AZ30&lt;&gt;"L",ASISTENCIA!AZ30&lt;&gt;"J",ASISTENCIA!AZ30&lt;&gt;"F"),SUMIF($F$13:$J$13,BC$13,$F31:$J31),"")</f>
        <v/>
      </c>
      <c r="BD31" s="168" t="str">
        <f>IF(AND(LEN($D31)&gt;0,SUMIF($F$13:$J$13,BD$13,$F31:$J31)&gt;0,ASISTENCIA!BA30&lt;&gt;"X",ASISTENCIA!BA30&lt;&gt;"L",ASISTENCIA!BA30&lt;&gt;"J",ASISTENCIA!BA30&lt;&gt;"F"),SUMIF($F$13:$J$13,BD$13,$F31:$J31),"")</f>
        <v/>
      </c>
      <c r="BE31" s="168" t="str">
        <f>IF(AND(LEN($D31)&gt;0,SUMIF($F$13:$J$13,BE$13,$F31:$J31)&gt;0,ASISTENCIA!BB30&lt;&gt;"X",ASISTENCIA!BB30&lt;&gt;"L",ASISTENCIA!BB30&lt;&gt;"J",ASISTENCIA!BB30&lt;&gt;"F"),SUMIF($F$13:$J$13,BE$13,$F31:$J31),"")</f>
        <v/>
      </c>
      <c r="BF31" s="168" t="str">
        <f>IF(AND(LEN($D31)&gt;0,SUMIF($F$13:$J$13,BF$13,$F31:$J31)&gt;0,ASISTENCIA!#REF!&lt;&gt;"X",ASISTENCIA!#REF!&lt;&gt;"L",ASISTENCIA!#REF!&lt;&gt;"J",ASISTENCIA!#REF!&lt;&gt;"F"),SUMIF($F$13:$J$13,BF$13,$F31:$J31),"")</f>
        <v>#ERROR!</v>
      </c>
      <c r="BG31" s="168" t="str">
        <f>IF(AND(LEN($D31)&gt;0,SUMIF($F$13:$J$13,BG$13,$F31:$J31)&gt;0,ASISTENCIA!#REF!&lt;&gt;"X",ASISTENCIA!#REF!&lt;&gt;"L",ASISTENCIA!#REF!&lt;&gt;"J",ASISTENCIA!#REF!&lt;&gt;"F"),SUMIF($F$13:$J$13,BG$13,$F31:$J31),"")</f>
        <v>#ERROR!</v>
      </c>
      <c r="BH31" s="168" t="str">
        <f>IF(AND(LEN($D31)&gt;0,SUMIF($F$13:$J$13,BH$13,$F31:$J31)&gt;0,ASISTENCIA!BE30&lt;&gt;"X",ASISTENCIA!BE30&lt;&gt;"L",ASISTENCIA!BE30&lt;&gt;"J",ASISTENCIA!BE30&lt;&gt;"F"),SUMIF($F$13:$J$13,BH$13,$F31:$J31),"")</f>
        <v/>
      </c>
      <c r="BI31" s="168" t="str">
        <f>IF(AND(LEN($D31)&gt;0,SUMIF($F$13:$J$13,BI$13,$F31:$J31)&gt;0,ASISTENCIA!BF30&lt;&gt;"X",ASISTENCIA!BF30&lt;&gt;"L",ASISTENCIA!BF30&lt;&gt;"J",ASISTENCIA!BF30&lt;&gt;"F"),SUMIF($F$13:$J$13,BI$13,$F31:$J31),"")</f>
        <v/>
      </c>
      <c r="BJ31" s="168" t="str">
        <f>IF(AND(LEN($D31)&gt;0,SUMIF($F$13:$J$13,BJ$13,$F31:$J31)&gt;0,ASISTENCIA!BG30&lt;&gt;"X",ASISTENCIA!BG30&lt;&gt;"L",ASISTENCIA!BG30&lt;&gt;"J",ASISTENCIA!BG30&lt;&gt;"F"),SUMIF($F$13:$J$13,BJ$13,$F31:$J31),"")</f>
        <v/>
      </c>
      <c r="BK31" s="168" t="str">
        <f>IF(AND(LEN($D31)&gt;0,SUMIF($F$13:$J$13,BK$13,$F31:$J31)&gt;0,ASISTENCIA!BH30&lt;&gt;"X",ASISTENCIA!BH30&lt;&gt;"L",ASISTENCIA!BH30&lt;&gt;"J",ASISTENCIA!BH30&lt;&gt;"F"),SUMIF($F$13:$J$13,BK$13,$F31:$J31),"")</f>
        <v/>
      </c>
      <c r="BL31" s="168" t="str">
        <f>IF(AND(LEN($D31)&gt;0,SUMIF($F$13:$J$13,BL$13,$F31:$J31)&gt;0,ASISTENCIA!BI30&lt;&gt;"X",ASISTENCIA!BI30&lt;&gt;"L",ASISTENCIA!BI30&lt;&gt;"J",ASISTENCIA!BI30&lt;&gt;"F"),SUMIF($F$13:$J$13,BL$13,$F31:$J31),"")</f>
        <v/>
      </c>
      <c r="BM31" s="168" t="str">
        <f>IF(AND(LEN($D31)&gt;0,SUMIF($F$13:$J$13,BM$13,$F31:$J31)&gt;0,ASISTENCIA!BJ30&lt;&gt;"X",ASISTENCIA!BJ30&lt;&gt;"L",ASISTENCIA!BJ30&lt;&gt;"J",ASISTENCIA!BJ30&lt;&gt;"F"),SUMIF($F$13:$J$13,BM$13,$F31:$J31),"")</f>
        <v/>
      </c>
      <c r="BN31" s="168" t="str">
        <f>IF(AND(LEN($D31)&gt;0,SUMIF($F$13:$J$13,BN$13,$F31:$J31)&gt;0,ASISTENCIA!BK30&lt;&gt;"X",ASISTENCIA!BK30&lt;&gt;"L",ASISTENCIA!BK30&lt;&gt;"J",ASISTENCIA!BK30&lt;&gt;"F"),SUMIF($F$13:$J$13,BN$13,$F31:$J31),"")</f>
        <v/>
      </c>
      <c r="BO31" s="168" t="str">
        <f>IF(AND(LEN($D31)&gt;0,SUMIF($F$13:$J$13,BO$13,$F31:$J31)&gt;0,ASISTENCIA!BL30&lt;&gt;"X",ASISTENCIA!BL30&lt;&gt;"L",ASISTENCIA!BL30&lt;&gt;"J",ASISTENCIA!BL30&lt;&gt;"F"),SUMIF($F$13:$J$13,BO$13,$F31:$J31),"")</f>
        <v/>
      </c>
      <c r="BP31" s="168" t="str">
        <f>IF(AND(LEN($D31)&gt;0,SUMIF($F$13:$J$13,BP$13,$F31:$J31)&gt;0,ASISTENCIA!BM30&lt;&gt;"X",ASISTENCIA!BM30&lt;&gt;"L",ASISTENCIA!BM30&lt;&gt;"J",ASISTENCIA!BM30&lt;&gt;"F"),SUMIF($F$13:$J$13,BP$13,$F31:$J31),"")</f>
        <v/>
      </c>
      <c r="BQ31" s="168" t="str">
        <f>IF(AND(LEN($D31)&gt;0,SUMIF($F$13:$J$13,BQ$13,$F31:$J31)&gt;0,ASISTENCIA!BN30&lt;&gt;"X",ASISTENCIA!BN30&lt;&gt;"L",ASISTENCIA!BN30&lt;&gt;"J",ASISTENCIA!BN30&lt;&gt;"F"),SUMIF($F$13:$J$13,BQ$13,$F31:$J31),"")</f>
        <v/>
      </c>
      <c r="BR31" s="168" t="str">
        <f>IF(AND(LEN($D31)&gt;0,SUMIF($F$13:$J$13,BR$13,$F31:$J31)&gt;0,ASISTENCIA!BO30&lt;&gt;"X",ASISTENCIA!BO30&lt;&gt;"L",ASISTENCIA!BO30&lt;&gt;"J",ASISTENCIA!BO30&lt;&gt;"F"),SUMIF($F$13:$J$13,BR$13,$F31:$J31),"")</f>
        <v/>
      </c>
      <c r="BS31" s="168" t="str">
        <f>IF(AND(LEN($D31)&gt;0,SUMIF($F$13:$J$13,BS$13,$F31:$J31)&gt;0,ASISTENCIA!BP30&lt;&gt;"X",ASISTENCIA!BP30&lt;&gt;"L",ASISTENCIA!BP30&lt;&gt;"J",ASISTENCIA!BP30&lt;&gt;"F"),SUMIF($F$13:$J$13,BS$13,$F31:$J31),"")</f>
        <v/>
      </c>
      <c r="BT31" s="168" t="str">
        <f>IF(AND(LEN($D31)&gt;0,SUMIF($F$13:$J$13,BT$13,$F31:$J31)&gt;0,ASISTENCIA!BQ30&lt;&gt;"X",ASISTENCIA!BQ30&lt;&gt;"L",ASISTENCIA!BQ30&lt;&gt;"J",ASISTENCIA!BQ30&lt;&gt;"F"),SUMIF($F$13:$J$13,BT$13,$F31:$J31),"")</f>
        <v/>
      </c>
      <c r="BU31" s="168" t="str">
        <f>IF(AND(LEN($D31)&gt;0,SUMIF($F$13:$J$13,BU$13,$F31:$J31)&gt;0,ASISTENCIA!BR30&lt;&gt;"X",ASISTENCIA!BR30&lt;&gt;"L",ASISTENCIA!BR30&lt;&gt;"J",ASISTENCIA!BR30&lt;&gt;"F"),SUMIF($F$13:$J$13,BU$13,$F31:$J31),"")</f>
        <v/>
      </c>
      <c r="BV31" s="168" t="str">
        <f>IF(AND(LEN($D31)&gt;0,SUMIF($F$13:$J$13,BV$13,$F31:$J31)&gt;0,ASISTENCIA!BS30&lt;&gt;"X",ASISTENCIA!BS30&lt;&gt;"L",ASISTENCIA!BS30&lt;&gt;"J",ASISTENCIA!BS30&lt;&gt;"F"),SUMIF($F$13:$J$13,BV$13,$F31:$J31),"")</f>
        <v/>
      </c>
      <c r="BW31" s="168" t="str">
        <f>IF(AND(LEN($D31)&gt;0,SUMIF($F$13:$J$13,BW$13,$F31:$J31)&gt;0,ASISTENCIA!BT30&lt;&gt;"X",ASISTENCIA!BT30&lt;&gt;"L",ASISTENCIA!BT30&lt;&gt;"J",ASISTENCIA!BT30&lt;&gt;"F"),SUMIF($F$13:$J$13,BW$13,$F31:$J31),"")</f>
        <v/>
      </c>
      <c r="BX31" s="168" t="str">
        <f>IF(AND(LEN($D31)&gt;0,SUMIF($F$13:$J$13,BX$13,$F31:$J31)&gt;0,ASISTENCIA!BU30&lt;&gt;"X",ASISTENCIA!BU30&lt;&gt;"L",ASISTENCIA!BU30&lt;&gt;"J",ASISTENCIA!BU30&lt;&gt;"F"),SUMIF($F$13:$J$13,BX$13,$F31:$J31),"")</f>
        <v/>
      </c>
      <c r="BY31" s="168" t="str">
        <f>IF(AND(LEN($D31)&gt;0,SUMIF($F$13:$J$13,BY$13,$F31:$J31)&gt;0,ASISTENCIA!BV30&lt;&gt;"X",ASISTENCIA!BV30&lt;&gt;"L",ASISTENCIA!BV30&lt;&gt;"J",ASISTENCIA!BV30&lt;&gt;"F"),SUMIF($F$13:$J$13,BY$13,$F31:$J31),"")</f>
        <v/>
      </c>
      <c r="BZ31" s="168" t="str">
        <f>IF(AND(LEN($D31)&gt;0,SUMIF($F$13:$J$13,BZ$13,$F31:$J31)&gt;0,ASISTENCIA!BW30&lt;&gt;"X",ASISTENCIA!BW30&lt;&gt;"L",ASISTENCIA!BW30&lt;&gt;"J",ASISTENCIA!BW30&lt;&gt;"F"),SUMIF($F$13:$J$13,BZ$13,$F31:$J31),"")</f>
        <v/>
      </c>
      <c r="CA31" s="168" t="str">
        <f>IF(AND(LEN($D31)&gt;0,SUMIF($F$13:$J$13,CA$13,$F31:$J31)&gt;0,ASISTENCIA!BX30&lt;&gt;"X",ASISTENCIA!BX30&lt;&gt;"L",ASISTENCIA!BX30&lt;&gt;"J",ASISTENCIA!BX30&lt;&gt;"F"),SUMIF($F$13:$J$13,CA$13,$F31:$J31),"")</f>
        <v/>
      </c>
      <c r="CB31" s="168" t="str">
        <f>IF(AND(LEN($D31)&gt;0,SUMIF($F$13:$J$13,CB$13,$F31:$J31)&gt;0,ASISTENCIA!BY30&lt;&gt;"X",ASISTENCIA!BY30&lt;&gt;"L",ASISTENCIA!BY30&lt;&gt;"J",ASISTENCIA!BY30&lt;&gt;"F"),SUMIF($F$13:$J$13,CB$13,$F31:$J31),"")</f>
        <v/>
      </c>
      <c r="CC31" s="182" t="str">
        <f t="shared" si="5"/>
        <v>#ERROR!</v>
      </c>
      <c r="CD31" s="157"/>
    </row>
    <row r="32" ht="12.75" customHeight="1">
      <c r="A32" s="132" t="str">
        <f t="shared" si="6"/>
        <v/>
      </c>
      <c r="B32" s="183" t="str">
        <f>IF(LEN(C32)&gt;0,VLOOKUP($O$4,DATA!$A$1:$S$1,2,FALSE),"")</f>
        <v/>
      </c>
      <c r="C32" s="184" t="str">
        <f t="shared" si="1"/>
        <v/>
      </c>
      <c r="D32" s="136" t="str">
        <f>IF(LEN(ASISTENCIA!E31)&gt;0,ASISTENCIA!E31,"")</f>
        <v/>
      </c>
      <c r="E32" s="167" t="str">
        <f>IF(LEN(D32)&gt;0,ASISTENCIA!F31,"")</f>
        <v/>
      </c>
      <c r="F32" s="180"/>
      <c r="G32" s="180"/>
      <c r="H32" s="180"/>
      <c r="I32" s="180"/>
      <c r="J32" s="180"/>
      <c r="K32" s="168" t="str">
        <f t="shared" si="2"/>
        <v/>
      </c>
      <c r="L32" s="185"/>
      <c r="M32" s="168"/>
      <c r="N32" s="168" t="str">
        <f t="shared" si="3"/>
        <v>#ERROR!</v>
      </c>
      <c r="O32" s="168" t="str">
        <f>IF(AND(LEN($D32)&gt;0,SUMIF($F$13:$J$13,O$13,$F32:$J32)&gt;0,ASISTENCIA!I31&lt;&gt;"X",ASISTENCIA!I31&lt;&gt;"L",ASISTENCIA!I31&lt;&gt;"J",ASISTENCIA!I31&lt;&gt;"V",ASISTENCIA!I31&lt;&gt;"F",ASISTENCIA!I31&lt;&gt;""),SUMIF($F$13:$J$13,O$13,$F32:$J32),"")</f>
        <v/>
      </c>
      <c r="P32" s="168" t="str">
        <f>IF(AND(LEN($D32)&gt;0,SUMIF($F$13:$J$13,P$13,$F32:$J32)&gt;0,ASISTENCIA!J31&lt;&gt;"X",ASISTENCIA!J31&lt;&gt;"L",ASISTENCIA!J31&lt;&gt;"J",ASISTENCIA!J31&lt;&gt;"V",ASISTENCIA!J31&lt;&gt;"F",ASISTENCIA!J31&lt;&gt;""),SUMIF($F$13:$J$13,P$13,$F32:$J32),"")</f>
        <v/>
      </c>
      <c r="Q32" s="168" t="str">
        <f>IF(AND(LEN($D32)&gt;0,SUMIF($F$13:$J$13,Q$13,$F32:$J32)&gt;0,ASISTENCIA!K31&lt;&gt;"X",ASISTENCIA!K31&lt;&gt;"L",ASISTENCIA!K31&lt;&gt;"J",ASISTENCIA!K31&lt;&gt;"V",ASISTENCIA!K31&lt;&gt;"F",ASISTENCIA!K31&lt;&gt;""),SUMIF($F$13:$J$13,Q$13,$F32:$J32),"")</f>
        <v/>
      </c>
      <c r="R32" s="168" t="str">
        <f>IF(AND(LEN($D32)&gt;0,SUMIF($F$13:$J$13,R$13,$F32:$J32)&gt;0,ASISTENCIA!L31&lt;&gt;"X",ASISTENCIA!L31&lt;&gt;"L",ASISTENCIA!L31&lt;&gt;"J",ASISTENCIA!L31&lt;&gt;"V",ASISTENCIA!L31&lt;&gt;"F",ASISTENCIA!L31&lt;&gt;""),SUMIF($F$13:$J$13,R$13,$F32:$J32),"")</f>
        <v/>
      </c>
      <c r="S32" s="168" t="str">
        <f>IF(AND(LEN($D32)&gt;0,SUMIF($F$13:$J$13,S$13,$F32:$J32)&gt;0,ASISTENCIA!M31&lt;&gt;"X",ASISTENCIA!M31&lt;&gt;"L",ASISTENCIA!M31&lt;&gt;"J",ASISTENCIA!M31&lt;&gt;"V",ASISTENCIA!M31&lt;&gt;"F",ASISTENCIA!M31&lt;&gt;""),SUMIF($F$13:$J$13,S$13,$F32:$J32),"")</f>
        <v/>
      </c>
      <c r="T32" s="168" t="str">
        <f>IF(AND(LEN($D32)&gt;0,SUMIF($F$13:$J$13,T$13,$F32:$J32)&gt;0,ASISTENCIA!N31&lt;&gt;"X",ASISTENCIA!N31&lt;&gt;"L",ASISTENCIA!N31&lt;&gt;"J",ASISTENCIA!N31&lt;&gt;"V",ASISTENCIA!N31&lt;&gt;"F",ASISTENCIA!N31&lt;&gt;""),SUMIF($F$13:$J$13,T$13,$F32:$J32),"")</f>
        <v/>
      </c>
      <c r="U32" s="168" t="str">
        <f>IF(AND(LEN($D32)&gt;0,SUMIF($F$13:$J$13,U$13,$F32:$J32)&gt;0,ASISTENCIA!O31&lt;&gt;"X",ASISTENCIA!O31&lt;&gt;"L",ASISTENCIA!O31&lt;&gt;"J",ASISTENCIA!O31&lt;&gt;"V",ASISTENCIA!O31&lt;&gt;"F",ASISTENCIA!O31&lt;&gt;""),SUMIF($F$13:$J$13,U$13,$F32:$J32),"")</f>
        <v/>
      </c>
      <c r="V32" s="168" t="str">
        <f>IF(AND(LEN($D32)&gt;0,SUMIF($F$13:$J$13,V$13,$F32:$J32)&gt;0,ASISTENCIA!P31&lt;&gt;"X",ASISTENCIA!P31&lt;&gt;"L",ASISTENCIA!P31&lt;&gt;"J",ASISTENCIA!P31&lt;&gt;"V",ASISTENCIA!P31&lt;&gt;"F",ASISTENCIA!P31&lt;&gt;""),SUMIF($F$13:$J$13,V$13,$F32:$J32),"")</f>
        <v/>
      </c>
      <c r="W32" s="168" t="str">
        <f>IF(AND(LEN($D32)&gt;0,SUMIF($F$13:$J$13,W$13,$F32:$J32)&gt;0,ASISTENCIA!Q31&lt;&gt;"X",ASISTENCIA!Q31&lt;&gt;"L",ASISTENCIA!Q31&lt;&gt;"J",ASISTENCIA!Q31&lt;&gt;"V",ASISTENCIA!Q31&lt;&gt;"F",ASISTENCIA!Q31&lt;&gt;""),SUMIF($F$13:$J$13,W$13,$F32:$J32),"")</f>
        <v/>
      </c>
      <c r="X32" s="168" t="str">
        <f>IF(AND(LEN($D32)&gt;0,SUMIF($F$13:$J$13,X$13,$F32:$J32)&gt;0,ASISTENCIA!R31&lt;&gt;"X",ASISTENCIA!R31&lt;&gt;"L",ASISTENCIA!R31&lt;&gt;"J",ASISTENCIA!R31&lt;&gt;"V",ASISTENCIA!R31&lt;&gt;"F",ASISTENCIA!R31&lt;&gt;""),SUMIF($F$13:$J$13,X$13,$F32:$J32),"")</f>
        <v/>
      </c>
      <c r="Y32" s="168" t="str">
        <f>IF(AND(LEN($D32)&gt;0,SUMIF($F$13:$J$13,Y$13,$F32:$J32)&gt;0,ASISTENCIA!S31&lt;&gt;"X",ASISTENCIA!S31&lt;&gt;"L",ASISTENCIA!S31&lt;&gt;"J",ASISTENCIA!S31&lt;&gt;"V",ASISTENCIA!S31&lt;&gt;"F",ASISTENCIA!S31&lt;&gt;""),SUMIF($F$13:$J$13,Y$13,$F32:$J32),"")</f>
        <v/>
      </c>
      <c r="Z32" s="168" t="str">
        <f>IF(AND(LEN($D32)&gt;0,SUMIF($F$13:$J$13,Z$13,$F32:$J32)&gt;0,ASISTENCIA!T31&lt;&gt;"X",ASISTENCIA!T31&lt;&gt;"L",ASISTENCIA!T31&lt;&gt;"J",ASISTENCIA!T31&lt;&gt;"V",ASISTENCIA!T31&lt;&gt;"F",ASISTENCIA!T31&lt;&gt;""),SUMIF($F$13:$J$13,Z$13,$F32:$J32),"")</f>
        <v/>
      </c>
      <c r="AA32" s="168" t="str">
        <f>IF(AND(LEN($D32)&gt;0,SUMIF($F$13:$J$13,AA$13,$F32:$J32)&gt;0,ASISTENCIA!U31&lt;&gt;"X",ASISTENCIA!U31&lt;&gt;"L",ASISTENCIA!U31&lt;&gt;"J",ASISTENCIA!U31&lt;&gt;"V",ASISTENCIA!U31&lt;&gt;"F",ASISTENCIA!U31&lt;&gt;""),SUMIF($F$13:$J$13,AA$13,$F32:$J32),"")</f>
        <v/>
      </c>
      <c r="AB32" s="168" t="str">
        <f>IF(AND(LEN($D32)&gt;0,SUMIF($F$13:$J$13,AB$13,$F32:$J32)&gt;0,ASISTENCIA!V31&lt;&gt;"X",ASISTENCIA!V31&lt;&gt;"L",ASISTENCIA!V31&lt;&gt;"J",ASISTENCIA!V31&lt;&gt;"V",ASISTENCIA!V31&lt;&gt;"F",ASISTENCIA!V31&lt;&gt;""),SUMIF($F$13:$J$13,AB$13,$F32:$J32),"")</f>
        <v/>
      </c>
      <c r="AC32" s="168" t="str">
        <f>IF(AND(LEN($D32)&gt;0,SUMIF($F$13:$J$13,AC$13,$F32:$J32)&gt;0,ASISTENCIA!W31&lt;&gt;"X",ASISTENCIA!W31&lt;&gt;"L",ASISTENCIA!W31&lt;&gt;"J",ASISTENCIA!W31&lt;&gt;"V",ASISTENCIA!W31&lt;&gt;"F",ASISTENCIA!W31&lt;&gt;""),SUMIF($F$13:$J$13,AC$13,$F32:$J32),"")</f>
        <v/>
      </c>
      <c r="AD32" s="168" t="str">
        <f>IF(AND(LEN($D32)&gt;0,SUMIF($F$13:$J$13,AD$13,$F32:$J32)&gt;0,ASISTENCIA!X31&lt;&gt;"X",ASISTENCIA!X31&lt;&gt;"L",ASISTENCIA!X31&lt;&gt;"J",ASISTENCIA!X31&lt;&gt;"V",ASISTENCIA!X31&lt;&gt;"F",ASISTENCIA!X31&lt;&gt;""),SUMIF($F$13:$J$13,AD$13,$F32:$J32),"")</f>
        <v/>
      </c>
      <c r="AE32" s="168" t="str">
        <f>IF(AND(LEN($D32)&gt;0,SUMIF($F$13:$J$13,AE$13,$F32:$J32)&gt;0,ASISTENCIA!Y31&lt;&gt;"X",ASISTENCIA!Y31&lt;&gt;"L",ASISTENCIA!Y31&lt;&gt;"J",ASISTENCIA!Y31&lt;&gt;"V",ASISTENCIA!Y31&lt;&gt;"F",ASISTENCIA!Y31&lt;&gt;""),SUMIF($F$13:$J$13,AE$13,$F32:$J32),"")</f>
        <v/>
      </c>
      <c r="AF32" s="168" t="str">
        <f>IF(AND(LEN($D32)&gt;0,SUMIF($F$13:$J$13,AF$13,$F32:$J32)&gt;0,ASISTENCIA!Z31&lt;&gt;"X",ASISTENCIA!Z31&lt;&gt;"L",ASISTENCIA!Z31&lt;&gt;"J",ASISTENCIA!Z31&lt;&gt;"V",ASISTENCIA!Z31&lt;&gt;"F",ASISTENCIA!Z31&lt;&gt;""),SUMIF($F$13:$J$13,AF$13,$F32:$J32),"")</f>
        <v/>
      </c>
      <c r="AG32" s="168" t="str">
        <f>IF(AND(LEN($D32)&gt;0,SUMIF($F$13:$J$13,AG$13,$F32:$J32)&gt;0,ASISTENCIA!AA31&lt;&gt;"X",ASISTENCIA!AA31&lt;&gt;"L",ASISTENCIA!AA31&lt;&gt;"J",ASISTENCIA!AA31&lt;&gt;"V",ASISTENCIA!AA31&lt;&gt;"F",ASISTENCIA!AA31&lt;&gt;""),SUMIF($F$13:$J$13,AG$13,$F32:$J32),"")</f>
        <v/>
      </c>
      <c r="AH32" s="168" t="str">
        <f>IF(AND(LEN($D32)&gt;0,SUMIF($F$13:$J$13,AH$13,$F32:$J32)&gt;0,ASISTENCIA!AB31&lt;&gt;"X",ASISTENCIA!AB31&lt;&gt;"L",ASISTENCIA!AB31&lt;&gt;"J",ASISTENCIA!AB31&lt;&gt;"V",ASISTENCIA!AB31&lt;&gt;"F",ASISTENCIA!AB31&lt;&gt;""),SUMIF($F$13:$J$13,AH$13,$F32:$J32),"")</f>
        <v/>
      </c>
      <c r="AI32" s="168" t="str">
        <f>IF(AND(LEN($D32)&gt;0,SUMIF($F$13:$J$13,AI$13,$F32:$J32)&gt;0,ASISTENCIA!AC31&lt;&gt;"X",ASISTENCIA!AC31&lt;&gt;"L",ASISTENCIA!AC31&lt;&gt;"J",ASISTENCIA!AC31&lt;&gt;"V",ASISTENCIA!AC31&lt;&gt;"F",ASISTENCIA!AC31&lt;&gt;""),SUMIF($F$13:$J$13,AI$13,$F32:$J32),"")</f>
        <v/>
      </c>
      <c r="AJ32" s="168" t="str">
        <f>IF(AND(LEN($D32)&gt;0,SUMIF($F$13:$J$13,AJ$13,$F32:$J32)&gt;0,ASISTENCIA!AD31&lt;&gt;"X",ASISTENCIA!AD31&lt;&gt;"L",ASISTENCIA!AD31&lt;&gt;"J",ASISTENCIA!AD31&lt;&gt;"V",ASISTENCIA!AD31&lt;&gt;"F",ASISTENCIA!AD31&lt;&gt;""),SUMIF($F$13:$J$13,AJ$13,$F32:$J32),"")</f>
        <v/>
      </c>
      <c r="AK32" s="168" t="str">
        <f>IF(AND(LEN($D32)&gt;0,SUMIF($F$13:$J$13,AK$13,$F32:$J32)&gt;0,ASISTENCIA!AE31&lt;&gt;"X",ASISTENCIA!AE31&lt;&gt;"L",ASISTENCIA!AE31&lt;&gt;"J",ASISTENCIA!AE31&lt;&gt;"V",ASISTENCIA!AE31&lt;&gt;"F",ASISTENCIA!AE31&lt;&gt;""),SUMIF($F$13:$J$13,AK$13,$F32:$J32),"")</f>
        <v/>
      </c>
      <c r="AL32" s="168" t="str">
        <f>IF(AND(LEN($D32)&gt;0,SUMIF($F$13:$J$13,AL$13,$F32:$J32)&gt;0,ASISTENCIA!AF31&lt;&gt;"X",ASISTENCIA!AF31&lt;&gt;"L",ASISTENCIA!AF31&lt;&gt;"J",ASISTENCIA!AF31&lt;&gt;"V",ASISTENCIA!AF31&lt;&gt;"F",ASISTENCIA!AF31&lt;&gt;""),SUMIF($F$13:$J$13,AL$13,$F32:$J32),"")</f>
        <v/>
      </c>
      <c r="AM32" s="168" t="str">
        <f>IF(AND(LEN($D32)&gt;0,SUMIF($F$13:$J$13,AM$13,$F32:$J32)&gt;0,ASISTENCIA!AG31&lt;&gt;"X",ASISTENCIA!AG31&lt;&gt;"L",ASISTENCIA!AG31&lt;&gt;"J",ASISTENCIA!AG31&lt;&gt;"V",ASISTENCIA!AG31&lt;&gt;"F",ASISTENCIA!AG31&lt;&gt;""),SUMIF($F$13:$J$13,AM$13,$F32:$J32),"")</f>
        <v/>
      </c>
      <c r="AN32" s="168" t="str">
        <f>IF(AND(LEN($D32)&gt;0,SUMIF($F$13:$J$13,AN$13,$F32:$J32)&gt;0,ASISTENCIA!AH31&lt;&gt;"X",ASISTENCIA!AH31&lt;&gt;"L",ASISTENCIA!AH31&lt;&gt;"J",ASISTENCIA!AH31&lt;&gt;"V",ASISTENCIA!AH31&lt;&gt;"F",ASISTENCIA!AH31&lt;&gt;""),SUMIF($F$13:$J$13,AN$13,$F32:$J32),"")</f>
        <v/>
      </c>
      <c r="AO32" s="168" t="str">
        <f>IF(AND(LEN($D32)&gt;0,SUMIF($F$13:$J$13,AO$13,$F32:$J32)&gt;0,ASISTENCIA!AI31&lt;&gt;"X",ASISTENCIA!AI31&lt;&gt;"L",ASISTENCIA!AI31&lt;&gt;"J",ASISTENCIA!AI31&lt;&gt;"V",ASISTENCIA!AI31&lt;&gt;"F",ASISTENCIA!AI31&lt;&gt;""),SUMIF($F$13:$J$13,AO$13,$F32:$J32),"")</f>
        <v/>
      </c>
      <c r="AP32" s="168" t="str">
        <f>IF(AND(LEN($D32)&gt;0,SUMIF($F$13:$J$13,AP$13,$F32:$J32)&gt;0,ASISTENCIA!AJ31&lt;&gt;"X",ASISTENCIA!AJ31&lt;&gt;"L",ASISTENCIA!AJ31&lt;&gt;"J",ASISTENCIA!AJ31&lt;&gt;"V",ASISTENCIA!AJ31&lt;&gt;"F",ASISTENCIA!AJ31&lt;&gt;""),SUMIF($F$13:$J$13,AP$13,$F32:$J32),"")</f>
        <v/>
      </c>
      <c r="AQ32" s="168" t="str">
        <f>IF(AND(LEN($D32)&gt;0,SUMIF($F$13:$J$13,AQ$13,$F32:$J32)&gt;0,ASISTENCIA!AK31&lt;&gt;"X",ASISTENCIA!AK31&lt;&gt;"L",ASISTENCIA!AK31&lt;&gt;"J",ASISTENCIA!AK31&lt;&gt;"V",ASISTENCIA!AK31&lt;&gt;"F",ASISTENCIA!AK31&lt;&gt;""),SUMIF($F$13:$J$13,AQ$13,$F32:$J32),"")</f>
        <v/>
      </c>
      <c r="AR32" s="168" t="str">
        <f>IF(AND(LEN($D32)&gt;0,SUMIF($F$13:$J$13,AR$13,$F32:$J32)&gt;0,ASISTENCIA!AL31&lt;&gt;"X",ASISTENCIA!AL31&lt;&gt;"L",ASISTENCIA!AL31&lt;&gt;"J",ASISTENCIA!AL31&lt;&gt;"V",ASISTENCIA!AL31&lt;&gt;"F",ASISTENCIA!AL31&lt;&gt;""),SUMIF($F$13:$J$13,AR$13,$F32:$J32),"")</f>
        <v/>
      </c>
      <c r="AS32" s="168" t="str">
        <f>IF(AND(LEN($D32)&gt;0,SUMIF($F$13:$J$13,AS$13,$F32:$J32)&gt;0,ASISTENCIA!AM31&lt;&gt;"X",ASISTENCIA!AM31&lt;&gt;"L",ASISTENCIA!AM31&lt;&gt;"J",ASISTENCIA!AM31&lt;&gt;"V",ASISTENCIA!AM31&lt;&gt;"F",ASISTENCIA!AM31&lt;&gt;""),SUMIF($F$13:$J$13,AS$13,$F32:$J32),"")</f>
        <v/>
      </c>
      <c r="AT32" s="182" t="str">
        <f t="shared" si="4"/>
        <v/>
      </c>
      <c r="AU32" s="10"/>
      <c r="AV32" s="10"/>
      <c r="AW32" s="10"/>
      <c r="AX32" s="168" t="str">
        <f>IF(AND(LEN($D32)&gt;0,SUMIF($F$13:$J$13,AX$13,$F32:$J32)&gt;0,ASISTENCIA!AU31&lt;&gt;"X",ASISTENCIA!AU31&lt;&gt;"L",ASISTENCIA!AU31&lt;&gt;"J",ASISTENCIA!AU31&lt;&gt;"F"),SUMIF($F$13:$J$13,AX$13,$F32:$J32),"")</f>
        <v/>
      </c>
      <c r="AY32" s="168" t="str">
        <f>IF(AND(LEN($D32)&gt;0,SUMIF($F$13:$J$13,AY$13,$F32:$J32)&gt;0,ASISTENCIA!AV31&lt;&gt;"X",ASISTENCIA!AV31&lt;&gt;"L",ASISTENCIA!AV31&lt;&gt;"J",ASISTENCIA!AV31&lt;&gt;"F"),SUMIF($F$13:$J$13,AY$13,$F32:$J32),"")</f>
        <v/>
      </c>
      <c r="AZ32" s="168" t="str">
        <f>IF(AND(LEN($D32)&gt;0,SUMIF($F$13:$J$13,AZ$13,$F32:$J32)&gt;0,ASISTENCIA!AW31&lt;&gt;"X",ASISTENCIA!AW31&lt;&gt;"L",ASISTENCIA!AW31&lt;&gt;"J",ASISTENCIA!AW31&lt;&gt;"F"),SUMIF($F$13:$J$13,AZ$13,$F32:$J32),"")</f>
        <v/>
      </c>
      <c r="BA32" s="168" t="str">
        <f>IF(AND(LEN($D32)&gt;0,SUMIF($F$13:$J$13,BA$13,$F32:$J32)&gt;0,ASISTENCIA!AX31&lt;&gt;"X",ASISTENCIA!AX31&lt;&gt;"L",ASISTENCIA!AX31&lt;&gt;"J",ASISTENCIA!AX31&lt;&gt;"F"),SUMIF($F$13:$J$13,BA$13,$F32:$J32),"")</f>
        <v/>
      </c>
      <c r="BB32" s="168" t="str">
        <f>IF(AND(LEN($D32)&gt;0,SUMIF($F$13:$J$13,BB$13,$F32:$J32)&gt;0,ASISTENCIA!AY31&lt;&gt;"X",ASISTENCIA!AY31&lt;&gt;"L",ASISTENCIA!AY31&lt;&gt;"J",ASISTENCIA!AY31&lt;&gt;"F"),SUMIF($F$13:$J$13,BB$13,$F32:$J32),"")</f>
        <v/>
      </c>
      <c r="BC32" s="168" t="str">
        <f>IF(AND(LEN($D32)&gt;0,SUMIF($F$13:$J$13,BC$13,$F32:$J32)&gt;0,ASISTENCIA!AZ31&lt;&gt;"X",ASISTENCIA!AZ31&lt;&gt;"L",ASISTENCIA!AZ31&lt;&gt;"J",ASISTENCIA!AZ31&lt;&gt;"F"),SUMIF($F$13:$J$13,BC$13,$F32:$J32),"")</f>
        <v/>
      </c>
      <c r="BD32" s="168" t="str">
        <f>IF(AND(LEN($D32)&gt;0,SUMIF($F$13:$J$13,BD$13,$F32:$J32)&gt;0,ASISTENCIA!BA31&lt;&gt;"X",ASISTENCIA!BA31&lt;&gt;"L",ASISTENCIA!BA31&lt;&gt;"J",ASISTENCIA!BA31&lt;&gt;"F"),SUMIF($F$13:$J$13,BD$13,$F32:$J32),"")</f>
        <v/>
      </c>
      <c r="BE32" s="168" t="str">
        <f>IF(AND(LEN($D32)&gt;0,SUMIF($F$13:$J$13,BE$13,$F32:$J32)&gt;0,ASISTENCIA!BB31&lt;&gt;"X",ASISTENCIA!BB31&lt;&gt;"L",ASISTENCIA!BB31&lt;&gt;"J",ASISTENCIA!BB31&lt;&gt;"F"),SUMIF($F$13:$J$13,BE$13,$F32:$J32),"")</f>
        <v/>
      </c>
      <c r="BF32" s="168" t="str">
        <f>IF(AND(LEN($D32)&gt;0,SUMIF($F$13:$J$13,BF$13,$F32:$J32)&gt;0,ASISTENCIA!#REF!&lt;&gt;"X",ASISTENCIA!#REF!&lt;&gt;"L",ASISTENCIA!#REF!&lt;&gt;"J",ASISTENCIA!#REF!&lt;&gt;"F"),SUMIF($F$13:$J$13,BF$13,$F32:$J32),"")</f>
        <v>#ERROR!</v>
      </c>
      <c r="BG32" s="168" t="str">
        <f>IF(AND(LEN($D32)&gt;0,SUMIF($F$13:$J$13,BG$13,$F32:$J32)&gt;0,ASISTENCIA!#REF!&lt;&gt;"X",ASISTENCIA!#REF!&lt;&gt;"L",ASISTENCIA!#REF!&lt;&gt;"J",ASISTENCIA!#REF!&lt;&gt;"F"),SUMIF($F$13:$J$13,BG$13,$F32:$J32),"")</f>
        <v>#ERROR!</v>
      </c>
      <c r="BH32" s="168" t="str">
        <f>IF(AND(LEN($D32)&gt;0,SUMIF($F$13:$J$13,BH$13,$F32:$J32)&gt;0,ASISTENCIA!BE31&lt;&gt;"X",ASISTENCIA!BE31&lt;&gt;"L",ASISTENCIA!BE31&lt;&gt;"J",ASISTENCIA!BE31&lt;&gt;"F"),SUMIF($F$13:$J$13,BH$13,$F32:$J32),"")</f>
        <v/>
      </c>
      <c r="BI32" s="168" t="str">
        <f>IF(AND(LEN($D32)&gt;0,SUMIF($F$13:$J$13,BI$13,$F32:$J32)&gt;0,ASISTENCIA!BF31&lt;&gt;"X",ASISTENCIA!BF31&lt;&gt;"L",ASISTENCIA!BF31&lt;&gt;"J",ASISTENCIA!BF31&lt;&gt;"F"),SUMIF($F$13:$J$13,BI$13,$F32:$J32),"")</f>
        <v/>
      </c>
      <c r="BJ32" s="168" t="str">
        <f>IF(AND(LEN($D32)&gt;0,SUMIF($F$13:$J$13,BJ$13,$F32:$J32)&gt;0,ASISTENCIA!BG31&lt;&gt;"X",ASISTENCIA!BG31&lt;&gt;"L",ASISTENCIA!BG31&lt;&gt;"J",ASISTENCIA!BG31&lt;&gt;"F"),SUMIF($F$13:$J$13,BJ$13,$F32:$J32),"")</f>
        <v/>
      </c>
      <c r="BK32" s="168" t="str">
        <f>IF(AND(LEN($D32)&gt;0,SUMIF($F$13:$J$13,BK$13,$F32:$J32)&gt;0,ASISTENCIA!BH31&lt;&gt;"X",ASISTENCIA!BH31&lt;&gt;"L",ASISTENCIA!BH31&lt;&gt;"J",ASISTENCIA!BH31&lt;&gt;"F"),SUMIF($F$13:$J$13,BK$13,$F32:$J32),"")</f>
        <v/>
      </c>
      <c r="BL32" s="168" t="str">
        <f>IF(AND(LEN($D32)&gt;0,SUMIF($F$13:$J$13,BL$13,$F32:$J32)&gt;0,ASISTENCIA!BI31&lt;&gt;"X",ASISTENCIA!BI31&lt;&gt;"L",ASISTENCIA!BI31&lt;&gt;"J",ASISTENCIA!BI31&lt;&gt;"F"),SUMIF($F$13:$J$13,BL$13,$F32:$J32),"")</f>
        <v/>
      </c>
      <c r="BM32" s="168" t="str">
        <f>IF(AND(LEN($D32)&gt;0,SUMIF($F$13:$J$13,BM$13,$F32:$J32)&gt;0,ASISTENCIA!BJ31&lt;&gt;"X",ASISTENCIA!BJ31&lt;&gt;"L",ASISTENCIA!BJ31&lt;&gt;"J",ASISTENCIA!BJ31&lt;&gt;"F"),SUMIF($F$13:$J$13,BM$13,$F32:$J32),"")</f>
        <v/>
      </c>
      <c r="BN32" s="168" t="str">
        <f>IF(AND(LEN($D32)&gt;0,SUMIF($F$13:$J$13,BN$13,$F32:$J32)&gt;0,ASISTENCIA!BK31&lt;&gt;"X",ASISTENCIA!BK31&lt;&gt;"L",ASISTENCIA!BK31&lt;&gt;"J",ASISTENCIA!BK31&lt;&gt;"F"),SUMIF($F$13:$J$13,BN$13,$F32:$J32),"")</f>
        <v/>
      </c>
      <c r="BO32" s="168" t="str">
        <f>IF(AND(LEN($D32)&gt;0,SUMIF($F$13:$J$13,BO$13,$F32:$J32)&gt;0,ASISTENCIA!BL31&lt;&gt;"X",ASISTENCIA!BL31&lt;&gt;"L",ASISTENCIA!BL31&lt;&gt;"J",ASISTENCIA!BL31&lt;&gt;"F"),SUMIF($F$13:$J$13,BO$13,$F32:$J32),"")</f>
        <v/>
      </c>
      <c r="BP32" s="168" t="str">
        <f>IF(AND(LEN($D32)&gt;0,SUMIF($F$13:$J$13,BP$13,$F32:$J32)&gt;0,ASISTENCIA!BM31&lt;&gt;"X",ASISTENCIA!BM31&lt;&gt;"L",ASISTENCIA!BM31&lt;&gt;"J",ASISTENCIA!BM31&lt;&gt;"F"),SUMIF($F$13:$J$13,BP$13,$F32:$J32),"")</f>
        <v/>
      </c>
      <c r="BQ32" s="168" t="str">
        <f>IF(AND(LEN($D32)&gt;0,SUMIF($F$13:$J$13,BQ$13,$F32:$J32)&gt;0,ASISTENCIA!BN31&lt;&gt;"X",ASISTENCIA!BN31&lt;&gt;"L",ASISTENCIA!BN31&lt;&gt;"J",ASISTENCIA!BN31&lt;&gt;"F"),SUMIF($F$13:$J$13,BQ$13,$F32:$J32),"")</f>
        <v/>
      </c>
      <c r="BR32" s="168" t="str">
        <f>IF(AND(LEN($D32)&gt;0,SUMIF($F$13:$J$13,BR$13,$F32:$J32)&gt;0,ASISTENCIA!BO31&lt;&gt;"X",ASISTENCIA!BO31&lt;&gt;"L",ASISTENCIA!BO31&lt;&gt;"J",ASISTENCIA!BO31&lt;&gt;"F"),SUMIF($F$13:$J$13,BR$13,$F32:$J32),"")</f>
        <v/>
      </c>
      <c r="BS32" s="168" t="str">
        <f>IF(AND(LEN($D32)&gt;0,SUMIF($F$13:$J$13,BS$13,$F32:$J32)&gt;0,ASISTENCIA!BP31&lt;&gt;"X",ASISTENCIA!BP31&lt;&gt;"L",ASISTENCIA!BP31&lt;&gt;"J",ASISTENCIA!BP31&lt;&gt;"F"),SUMIF($F$13:$J$13,BS$13,$F32:$J32),"")</f>
        <v/>
      </c>
      <c r="BT32" s="168" t="str">
        <f>IF(AND(LEN($D32)&gt;0,SUMIF($F$13:$J$13,BT$13,$F32:$J32)&gt;0,ASISTENCIA!BQ31&lt;&gt;"X",ASISTENCIA!BQ31&lt;&gt;"L",ASISTENCIA!BQ31&lt;&gt;"J",ASISTENCIA!BQ31&lt;&gt;"F"),SUMIF($F$13:$J$13,BT$13,$F32:$J32),"")</f>
        <v/>
      </c>
      <c r="BU32" s="168" t="str">
        <f>IF(AND(LEN($D32)&gt;0,SUMIF($F$13:$J$13,BU$13,$F32:$J32)&gt;0,ASISTENCIA!BR31&lt;&gt;"X",ASISTENCIA!BR31&lt;&gt;"L",ASISTENCIA!BR31&lt;&gt;"J",ASISTENCIA!BR31&lt;&gt;"F"),SUMIF($F$13:$J$13,BU$13,$F32:$J32),"")</f>
        <v/>
      </c>
      <c r="BV32" s="168" t="str">
        <f>IF(AND(LEN($D32)&gt;0,SUMIF($F$13:$J$13,BV$13,$F32:$J32)&gt;0,ASISTENCIA!BS31&lt;&gt;"X",ASISTENCIA!BS31&lt;&gt;"L",ASISTENCIA!BS31&lt;&gt;"J",ASISTENCIA!BS31&lt;&gt;"F"),SUMIF($F$13:$J$13,BV$13,$F32:$J32),"")</f>
        <v/>
      </c>
      <c r="BW32" s="168" t="str">
        <f>IF(AND(LEN($D32)&gt;0,SUMIF($F$13:$J$13,BW$13,$F32:$J32)&gt;0,ASISTENCIA!BT31&lt;&gt;"X",ASISTENCIA!BT31&lt;&gt;"L",ASISTENCIA!BT31&lt;&gt;"J",ASISTENCIA!BT31&lt;&gt;"F"),SUMIF($F$13:$J$13,BW$13,$F32:$J32),"")</f>
        <v/>
      </c>
      <c r="BX32" s="168" t="str">
        <f>IF(AND(LEN($D32)&gt;0,SUMIF($F$13:$J$13,BX$13,$F32:$J32)&gt;0,ASISTENCIA!BU31&lt;&gt;"X",ASISTENCIA!BU31&lt;&gt;"L",ASISTENCIA!BU31&lt;&gt;"J",ASISTENCIA!BU31&lt;&gt;"F"),SUMIF($F$13:$J$13,BX$13,$F32:$J32),"")</f>
        <v/>
      </c>
      <c r="BY32" s="168" t="str">
        <f>IF(AND(LEN($D32)&gt;0,SUMIF($F$13:$J$13,BY$13,$F32:$J32)&gt;0,ASISTENCIA!BV31&lt;&gt;"X",ASISTENCIA!BV31&lt;&gt;"L",ASISTENCIA!BV31&lt;&gt;"J",ASISTENCIA!BV31&lt;&gt;"F"),SUMIF($F$13:$J$13,BY$13,$F32:$J32),"")</f>
        <v/>
      </c>
      <c r="BZ32" s="168" t="str">
        <f>IF(AND(LEN($D32)&gt;0,SUMIF($F$13:$J$13,BZ$13,$F32:$J32)&gt;0,ASISTENCIA!BW31&lt;&gt;"X",ASISTENCIA!BW31&lt;&gt;"L",ASISTENCIA!BW31&lt;&gt;"J",ASISTENCIA!BW31&lt;&gt;"F"),SUMIF($F$13:$J$13,BZ$13,$F32:$J32),"")</f>
        <v/>
      </c>
      <c r="CA32" s="168" t="str">
        <f>IF(AND(LEN($D32)&gt;0,SUMIF($F$13:$J$13,CA$13,$F32:$J32)&gt;0,ASISTENCIA!BX31&lt;&gt;"X",ASISTENCIA!BX31&lt;&gt;"L",ASISTENCIA!BX31&lt;&gt;"J",ASISTENCIA!BX31&lt;&gt;"F"),SUMIF($F$13:$J$13,CA$13,$F32:$J32),"")</f>
        <v/>
      </c>
      <c r="CB32" s="168" t="str">
        <f>IF(AND(LEN($D32)&gt;0,SUMIF($F$13:$J$13,CB$13,$F32:$J32)&gt;0,ASISTENCIA!BY31&lt;&gt;"X",ASISTENCIA!BY31&lt;&gt;"L",ASISTENCIA!BY31&lt;&gt;"J",ASISTENCIA!BY31&lt;&gt;"F"),SUMIF($F$13:$J$13,CB$13,$F32:$J32),"")</f>
        <v/>
      </c>
      <c r="CC32" s="182" t="str">
        <f t="shared" si="5"/>
        <v>#ERROR!</v>
      </c>
      <c r="CD32" s="10"/>
    </row>
    <row r="33" ht="12.75" customHeight="1">
      <c r="A33" s="132" t="str">
        <f t="shared" si="6"/>
        <v/>
      </c>
      <c r="B33" s="183" t="str">
        <f>IF(LEN(C33)&gt;0,VLOOKUP($O$4,DATA!$A$1:$S$1,2,FALSE),"")</f>
        <v/>
      </c>
      <c r="C33" s="184" t="str">
        <f t="shared" si="1"/>
        <v/>
      </c>
      <c r="D33" s="136" t="str">
        <f>IF(LEN(ASISTENCIA!E32)&gt;0,ASISTENCIA!E32,"")</f>
        <v/>
      </c>
      <c r="E33" s="167" t="str">
        <f>IF(LEN(D33)&gt;0,ASISTENCIA!F32,"")</f>
        <v/>
      </c>
      <c r="F33" s="180"/>
      <c r="G33" s="180"/>
      <c r="H33" s="180"/>
      <c r="I33" s="180"/>
      <c r="J33" s="180"/>
      <c r="K33" s="168" t="str">
        <f t="shared" si="2"/>
        <v/>
      </c>
      <c r="L33" s="185"/>
      <c r="M33" s="168"/>
      <c r="N33" s="168" t="str">
        <f t="shared" si="3"/>
        <v>#ERROR!</v>
      </c>
      <c r="O33" s="168" t="str">
        <f>IF(AND(LEN($D33)&gt;0,SUMIF($F$13:$J$13,O$13,$F33:$J33)&gt;0,ASISTENCIA!I32&lt;&gt;"X",ASISTENCIA!I32&lt;&gt;"L",ASISTENCIA!I32&lt;&gt;"J",ASISTENCIA!I32&lt;&gt;"V",ASISTENCIA!I32&lt;&gt;"F",ASISTENCIA!I32&lt;&gt;""),SUMIF($F$13:$J$13,O$13,$F33:$J33),"")</f>
        <v/>
      </c>
      <c r="P33" s="168" t="str">
        <f>IF(AND(LEN($D33)&gt;0,SUMIF($F$13:$J$13,P$13,$F33:$J33)&gt;0,ASISTENCIA!J32&lt;&gt;"X",ASISTENCIA!J32&lt;&gt;"L",ASISTENCIA!J32&lt;&gt;"J",ASISTENCIA!J32&lt;&gt;"V",ASISTENCIA!J32&lt;&gt;"F",ASISTENCIA!J32&lt;&gt;""),SUMIF($F$13:$J$13,P$13,$F33:$J33),"")</f>
        <v/>
      </c>
      <c r="Q33" s="168" t="str">
        <f>IF(AND(LEN($D33)&gt;0,SUMIF($F$13:$J$13,Q$13,$F33:$J33)&gt;0,ASISTENCIA!K32&lt;&gt;"X",ASISTENCIA!K32&lt;&gt;"L",ASISTENCIA!K32&lt;&gt;"J",ASISTENCIA!K32&lt;&gt;"V",ASISTENCIA!K32&lt;&gt;"F",ASISTENCIA!K32&lt;&gt;""),SUMIF($F$13:$J$13,Q$13,$F33:$J33),"")</f>
        <v/>
      </c>
      <c r="R33" s="168" t="str">
        <f>IF(AND(LEN($D33)&gt;0,SUMIF($F$13:$J$13,R$13,$F33:$J33)&gt;0,ASISTENCIA!L32&lt;&gt;"X",ASISTENCIA!L32&lt;&gt;"L",ASISTENCIA!L32&lt;&gt;"J",ASISTENCIA!L32&lt;&gt;"V",ASISTENCIA!L32&lt;&gt;"F",ASISTENCIA!L32&lt;&gt;""),SUMIF($F$13:$J$13,R$13,$F33:$J33),"")</f>
        <v/>
      </c>
      <c r="S33" s="168" t="str">
        <f>IF(AND(LEN($D33)&gt;0,SUMIF($F$13:$J$13,S$13,$F33:$J33)&gt;0,ASISTENCIA!M32&lt;&gt;"X",ASISTENCIA!M32&lt;&gt;"L",ASISTENCIA!M32&lt;&gt;"J",ASISTENCIA!M32&lt;&gt;"V",ASISTENCIA!M32&lt;&gt;"F",ASISTENCIA!M32&lt;&gt;""),SUMIF($F$13:$J$13,S$13,$F33:$J33),"")</f>
        <v/>
      </c>
      <c r="T33" s="168" t="str">
        <f>IF(AND(LEN($D33)&gt;0,SUMIF($F$13:$J$13,T$13,$F33:$J33)&gt;0,ASISTENCIA!N32&lt;&gt;"X",ASISTENCIA!N32&lt;&gt;"L",ASISTENCIA!N32&lt;&gt;"J",ASISTENCIA!N32&lt;&gt;"V",ASISTENCIA!N32&lt;&gt;"F",ASISTENCIA!N32&lt;&gt;""),SUMIF($F$13:$J$13,T$13,$F33:$J33),"")</f>
        <v/>
      </c>
      <c r="U33" s="168" t="str">
        <f>IF(AND(LEN($D33)&gt;0,SUMIF($F$13:$J$13,U$13,$F33:$J33)&gt;0,ASISTENCIA!O32&lt;&gt;"X",ASISTENCIA!O32&lt;&gt;"L",ASISTENCIA!O32&lt;&gt;"J",ASISTENCIA!O32&lt;&gt;"V",ASISTENCIA!O32&lt;&gt;"F",ASISTENCIA!O32&lt;&gt;""),SUMIF($F$13:$J$13,U$13,$F33:$J33),"")</f>
        <v/>
      </c>
      <c r="V33" s="168" t="str">
        <f>IF(AND(LEN($D33)&gt;0,SUMIF($F$13:$J$13,V$13,$F33:$J33)&gt;0,ASISTENCIA!P32&lt;&gt;"X",ASISTENCIA!P32&lt;&gt;"L",ASISTENCIA!P32&lt;&gt;"J",ASISTENCIA!P32&lt;&gt;"V",ASISTENCIA!P32&lt;&gt;"F",ASISTENCIA!P32&lt;&gt;""),SUMIF($F$13:$J$13,V$13,$F33:$J33),"")</f>
        <v/>
      </c>
      <c r="W33" s="168" t="str">
        <f>IF(AND(LEN($D33)&gt;0,SUMIF($F$13:$J$13,W$13,$F33:$J33)&gt;0,ASISTENCIA!Q32&lt;&gt;"X",ASISTENCIA!Q32&lt;&gt;"L",ASISTENCIA!Q32&lt;&gt;"J",ASISTENCIA!Q32&lt;&gt;"V",ASISTENCIA!Q32&lt;&gt;"F",ASISTENCIA!Q32&lt;&gt;""),SUMIF($F$13:$J$13,W$13,$F33:$J33),"")</f>
        <v/>
      </c>
      <c r="X33" s="168" t="str">
        <f>IF(AND(LEN($D33)&gt;0,SUMIF($F$13:$J$13,X$13,$F33:$J33)&gt;0,ASISTENCIA!R32&lt;&gt;"X",ASISTENCIA!R32&lt;&gt;"L",ASISTENCIA!R32&lt;&gt;"J",ASISTENCIA!R32&lt;&gt;"V",ASISTENCIA!R32&lt;&gt;"F",ASISTENCIA!R32&lt;&gt;""),SUMIF($F$13:$J$13,X$13,$F33:$J33),"")</f>
        <v/>
      </c>
      <c r="Y33" s="168" t="str">
        <f>IF(AND(LEN($D33)&gt;0,SUMIF($F$13:$J$13,Y$13,$F33:$J33)&gt;0,ASISTENCIA!S32&lt;&gt;"X",ASISTENCIA!S32&lt;&gt;"L",ASISTENCIA!S32&lt;&gt;"J",ASISTENCIA!S32&lt;&gt;"V",ASISTENCIA!S32&lt;&gt;"F",ASISTENCIA!S32&lt;&gt;""),SUMIF($F$13:$J$13,Y$13,$F33:$J33),"")</f>
        <v/>
      </c>
      <c r="Z33" s="168" t="str">
        <f>IF(AND(LEN($D33)&gt;0,SUMIF($F$13:$J$13,Z$13,$F33:$J33)&gt;0,ASISTENCIA!T32&lt;&gt;"X",ASISTENCIA!T32&lt;&gt;"L",ASISTENCIA!T32&lt;&gt;"J",ASISTENCIA!T32&lt;&gt;"V",ASISTENCIA!T32&lt;&gt;"F",ASISTENCIA!T32&lt;&gt;""),SUMIF($F$13:$J$13,Z$13,$F33:$J33),"")</f>
        <v/>
      </c>
      <c r="AA33" s="168" t="str">
        <f>IF(AND(LEN($D33)&gt;0,SUMIF($F$13:$J$13,AA$13,$F33:$J33)&gt;0,ASISTENCIA!U32&lt;&gt;"X",ASISTENCIA!U32&lt;&gt;"L",ASISTENCIA!U32&lt;&gt;"J",ASISTENCIA!U32&lt;&gt;"V",ASISTENCIA!U32&lt;&gt;"F",ASISTENCIA!U32&lt;&gt;""),SUMIF($F$13:$J$13,AA$13,$F33:$J33),"")</f>
        <v/>
      </c>
      <c r="AB33" s="168" t="str">
        <f>IF(AND(LEN($D33)&gt;0,SUMIF($F$13:$J$13,AB$13,$F33:$J33)&gt;0,ASISTENCIA!V32&lt;&gt;"X",ASISTENCIA!V32&lt;&gt;"L",ASISTENCIA!V32&lt;&gt;"J",ASISTENCIA!V32&lt;&gt;"V",ASISTENCIA!V32&lt;&gt;"F",ASISTENCIA!V32&lt;&gt;""),SUMIF($F$13:$J$13,AB$13,$F33:$J33),"")</f>
        <v/>
      </c>
      <c r="AC33" s="168" t="str">
        <f>IF(AND(LEN($D33)&gt;0,SUMIF($F$13:$J$13,AC$13,$F33:$J33)&gt;0,ASISTENCIA!W32&lt;&gt;"X",ASISTENCIA!W32&lt;&gt;"L",ASISTENCIA!W32&lt;&gt;"J",ASISTENCIA!W32&lt;&gt;"V",ASISTENCIA!W32&lt;&gt;"F",ASISTENCIA!W32&lt;&gt;""),SUMIF($F$13:$J$13,AC$13,$F33:$J33),"")</f>
        <v/>
      </c>
      <c r="AD33" s="168" t="str">
        <f>IF(AND(LEN($D33)&gt;0,SUMIF($F$13:$J$13,AD$13,$F33:$J33)&gt;0,ASISTENCIA!X32&lt;&gt;"X",ASISTENCIA!X32&lt;&gt;"L",ASISTENCIA!X32&lt;&gt;"J",ASISTENCIA!X32&lt;&gt;"V",ASISTENCIA!X32&lt;&gt;"F",ASISTENCIA!X32&lt;&gt;""),SUMIF($F$13:$J$13,AD$13,$F33:$J33),"")</f>
        <v/>
      </c>
      <c r="AE33" s="168" t="str">
        <f>IF(AND(LEN($D33)&gt;0,SUMIF($F$13:$J$13,AE$13,$F33:$J33)&gt;0,ASISTENCIA!Y32&lt;&gt;"X",ASISTENCIA!Y32&lt;&gt;"L",ASISTENCIA!Y32&lt;&gt;"J",ASISTENCIA!Y32&lt;&gt;"V",ASISTENCIA!Y32&lt;&gt;"F",ASISTENCIA!Y32&lt;&gt;""),SUMIF($F$13:$J$13,AE$13,$F33:$J33),"")</f>
        <v/>
      </c>
      <c r="AF33" s="168" t="str">
        <f>IF(AND(LEN($D33)&gt;0,SUMIF($F$13:$J$13,AF$13,$F33:$J33)&gt;0,ASISTENCIA!Z32&lt;&gt;"X",ASISTENCIA!Z32&lt;&gt;"L",ASISTENCIA!Z32&lt;&gt;"J",ASISTENCIA!Z32&lt;&gt;"V",ASISTENCIA!Z32&lt;&gt;"F",ASISTENCIA!Z32&lt;&gt;""),SUMIF($F$13:$J$13,AF$13,$F33:$J33),"")</f>
        <v/>
      </c>
      <c r="AG33" s="168" t="str">
        <f>IF(AND(LEN($D33)&gt;0,SUMIF($F$13:$J$13,AG$13,$F33:$J33)&gt;0,ASISTENCIA!AA32&lt;&gt;"X",ASISTENCIA!AA32&lt;&gt;"L",ASISTENCIA!AA32&lt;&gt;"J",ASISTENCIA!AA32&lt;&gt;"V",ASISTENCIA!AA32&lt;&gt;"F",ASISTENCIA!AA32&lt;&gt;""),SUMIF($F$13:$J$13,AG$13,$F33:$J33),"")</f>
        <v/>
      </c>
      <c r="AH33" s="168" t="str">
        <f>IF(AND(LEN($D33)&gt;0,SUMIF($F$13:$J$13,AH$13,$F33:$J33)&gt;0,ASISTENCIA!AB32&lt;&gt;"X",ASISTENCIA!AB32&lt;&gt;"L",ASISTENCIA!AB32&lt;&gt;"J",ASISTENCIA!AB32&lt;&gt;"V",ASISTENCIA!AB32&lt;&gt;"F",ASISTENCIA!AB32&lt;&gt;""),SUMIF($F$13:$J$13,AH$13,$F33:$J33),"")</f>
        <v/>
      </c>
      <c r="AI33" s="168" t="str">
        <f>IF(AND(LEN($D33)&gt;0,SUMIF($F$13:$J$13,AI$13,$F33:$J33)&gt;0,ASISTENCIA!AC32&lt;&gt;"X",ASISTENCIA!AC32&lt;&gt;"L",ASISTENCIA!AC32&lt;&gt;"J",ASISTENCIA!AC32&lt;&gt;"V",ASISTENCIA!AC32&lt;&gt;"F",ASISTENCIA!AC32&lt;&gt;""),SUMIF($F$13:$J$13,AI$13,$F33:$J33),"")</f>
        <v/>
      </c>
      <c r="AJ33" s="168" t="str">
        <f>IF(AND(LEN($D33)&gt;0,SUMIF($F$13:$J$13,AJ$13,$F33:$J33)&gt;0,ASISTENCIA!AD32&lt;&gt;"X",ASISTENCIA!AD32&lt;&gt;"L",ASISTENCIA!AD32&lt;&gt;"J",ASISTENCIA!AD32&lt;&gt;"V",ASISTENCIA!AD32&lt;&gt;"F",ASISTENCIA!AD32&lt;&gt;""),SUMIF($F$13:$J$13,AJ$13,$F33:$J33),"")</f>
        <v/>
      </c>
      <c r="AK33" s="168" t="str">
        <f>IF(AND(LEN($D33)&gt;0,SUMIF($F$13:$J$13,AK$13,$F33:$J33)&gt;0,ASISTENCIA!AE32&lt;&gt;"X",ASISTENCIA!AE32&lt;&gt;"L",ASISTENCIA!AE32&lt;&gt;"J",ASISTENCIA!AE32&lt;&gt;"V",ASISTENCIA!AE32&lt;&gt;"F",ASISTENCIA!AE32&lt;&gt;""),SUMIF($F$13:$J$13,AK$13,$F33:$J33),"")</f>
        <v/>
      </c>
      <c r="AL33" s="168" t="str">
        <f>IF(AND(LEN($D33)&gt;0,SUMIF($F$13:$J$13,AL$13,$F33:$J33)&gt;0,ASISTENCIA!AF32&lt;&gt;"X",ASISTENCIA!AF32&lt;&gt;"L",ASISTENCIA!AF32&lt;&gt;"J",ASISTENCIA!AF32&lt;&gt;"V",ASISTENCIA!AF32&lt;&gt;"F",ASISTENCIA!AF32&lt;&gt;""),SUMIF($F$13:$J$13,AL$13,$F33:$J33),"")</f>
        <v/>
      </c>
      <c r="AM33" s="168" t="str">
        <f>IF(AND(LEN($D33)&gt;0,SUMIF($F$13:$J$13,AM$13,$F33:$J33)&gt;0,ASISTENCIA!AG32&lt;&gt;"X",ASISTENCIA!AG32&lt;&gt;"L",ASISTENCIA!AG32&lt;&gt;"J",ASISTENCIA!AG32&lt;&gt;"V",ASISTENCIA!AG32&lt;&gt;"F",ASISTENCIA!AG32&lt;&gt;""),SUMIF($F$13:$J$13,AM$13,$F33:$J33),"")</f>
        <v/>
      </c>
      <c r="AN33" s="168" t="str">
        <f>IF(AND(LEN($D33)&gt;0,SUMIF($F$13:$J$13,AN$13,$F33:$J33)&gt;0,ASISTENCIA!AH32&lt;&gt;"X",ASISTENCIA!AH32&lt;&gt;"L",ASISTENCIA!AH32&lt;&gt;"J",ASISTENCIA!AH32&lt;&gt;"V",ASISTENCIA!AH32&lt;&gt;"F",ASISTENCIA!AH32&lt;&gt;""),SUMIF($F$13:$J$13,AN$13,$F33:$J33),"")</f>
        <v/>
      </c>
      <c r="AO33" s="168" t="str">
        <f>IF(AND(LEN($D33)&gt;0,SUMIF($F$13:$J$13,AO$13,$F33:$J33)&gt;0,ASISTENCIA!AI32&lt;&gt;"X",ASISTENCIA!AI32&lt;&gt;"L",ASISTENCIA!AI32&lt;&gt;"J",ASISTENCIA!AI32&lt;&gt;"V",ASISTENCIA!AI32&lt;&gt;"F",ASISTENCIA!AI32&lt;&gt;""),SUMIF($F$13:$J$13,AO$13,$F33:$J33),"")</f>
        <v/>
      </c>
      <c r="AP33" s="168" t="str">
        <f>IF(AND(LEN($D33)&gt;0,SUMIF($F$13:$J$13,AP$13,$F33:$J33)&gt;0,ASISTENCIA!AJ32&lt;&gt;"X",ASISTENCIA!AJ32&lt;&gt;"L",ASISTENCIA!AJ32&lt;&gt;"J",ASISTENCIA!AJ32&lt;&gt;"V",ASISTENCIA!AJ32&lt;&gt;"F",ASISTENCIA!AJ32&lt;&gt;""),SUMIF($F$13:$J$13,AP$13,$F33:$J33),"")</f>
        <v/>
      </c>
      <c r="AQ33" s="168" t="str">
        <f>IF(AND(LEN($D33)&gt;0,SUMIF($F$13:$J$13,AQ$13,$F33:$J33)&gt;0,ASISTENCIA!AK32&lt;&gt;"X",ASISTENCIA!AK32&lt;&gt;"L",ASISTENCIA!AK32&lt;&gt;"J",ASISTENCIA!AK32&lt;&gt;"V",ASISTENCIA!AK32&lt;&gt;"F",ASISTENCIA!AK32&lt;&gt;""),SUMIF($F$13:$J$13,AQ$13,$F33:$J33),"")</f>
        <v/>
      </c>
      <c r="AR33" s="168" t="str">
        <f>IF(AND(LEN($D33)&gt;0,SUMIF($F$13:$J$13,AR$13,$F33:$J33)&gt;0,ASISTENCIA!AL32&lt;&gt;"X",ASISTENCIA!AL32&lt;&gt;"L",ASISTENCIA!AL32&lt;&gt;"J",ASISTENCIA!AL32&lt;&gt;"V",ASISTENCIA!AL32&lt;&gt;"F",ASISTENCIA!AL32&lt;&gt;""),SUMIF($F$13:$J$13,AR$13,$F33:$J33),"")</f>
        <v/>
      </c>
      <c r="AS33" s="168" t="str">
        <f>IF(AND(LEN($D33)&gt;0,SUMIF($F$13:$J$13,AS$13,$F33:$J33)&gt;0,ASISTENCIA!AM32&lt;&gt;"X",ASISTENCIA!AM32&lt;&gt;"L",ASISTENCIA!AM32&lt;&gt;"J",ASISTENCIA!AM32&lt;&gt;"V",ASISTENCIA!AM32&lt;&gt;"F",ASISTENCIA!AM32&lt;&gt;""),SUMIF($F$13:$J$13,AS$13,$F33:$J33),"")</f>
        <v/>
      </c>
      <c r="AT33" s="182" t="str">
        <f t="shared" si="4"/>
        <v/>
      </c>
      <c r="AU33" s="10"/>
      <c r="AV33" s="10"/>
      <c r="AW33" s="10"/>
      <c r="AX33" s="168" t="str">
        <f>IF(AND(LEN($D33)&gt;0,SUMIF($F$13:$J$13,AX$13,$F33:$J33)&gt;0,ASISTENCIA!AU32&lt;&gt;"X",ASISTENCIA!AU32&lt;&gt;"L",ASISTENCIA!AU32&lt;&gt;"J",ASISTENCIA!AU32&lt;&gt;"F"),SUMIF($F$13:$J$13,AX$13,$F33:$J33),"")</f>
        <v/>
      </c>
      <c r="AY33" s="168" t="str">
        <f>IF(AND(LEN($D33)&gt;0,SUMIF($F$13:$J$13,AY$13,$F33:$J33)&gt;0,ASISTENCIA!AV32&lt;&gt;"X",ASISTENCIA!AV32&lt;&gt;"L",ASISTENCIA!AV32&lt;&gt;"J",ASISTENCIA!AV32&lt;&gt;"F"),SUMIF($F$13:$J$13,AY$13,$F33:$J33),"")</f>
        <v/>
      </c>
      <c r="AZ33" s="168" t="str">
        <f>IF(AND(LEN($D33)&gt;0,SUMIF($F$13:$J$13,AZ$13,$F33:$J33)&gt;0,ASISTENCIA!AW32&lt;&gt;"X",ASISTENCIA!AW32&lt;&gt;"L",ASISTENCIA!AW32&lt;&gt;"J",ASISTENCIA!AW32&lt;&gt;"F"),SUMIF($F$13:$J$13,AZ$13,$F33:$J33),"")</f>
        <v/>
      </c>
      <c r="BA33" s="168" t="str">
        <f>IF(AND(LEN($D33)&gt;0,SUMIF($F$13:$J$13,BA$13,$F33:$J33)&gt;0,ASISTENCIA!AX32&lt;&gt;"X",ASISTENCIA!AX32&lt;&gt;"L",ASISTENCIA!AX32&lt;&gt;"J",ASISTENCIA!AX32&lt;&gt;"F"),SUMIF($F$13:$J$13,BA$13,$F33:$J33),"")</f>
        <v/>
      </c>
      <c r="BB33" s="168" t="str">
        <f>IF(AND(LEN($D33)&gt;0,SUMIF($F$13:$J$13,BB$13,$F33:$J33)&gt;0,ASISTENCIA!AY32&lt;&gt;"X",ASISTENCIA!AY32&lt;&gt;"L",ASISTENCIA!AY32&lt;&gt;"J",ASISTENCIA!AY32&lt;&gt;"F"),SUMIF($F$13:$J$13,BB$13,$F33:$J33),"")</f>
        <v/>
      </c>
      <c r="BC33" s="168" t="str">
        <f>IF(AND(LEN($D33)&gt;0,SUMIF($F$13:$J$13,BC$13,$F33:$J33)&gt;0,ASISTENCIA!AZ32&lt;&gt;"X",ASISTENCIA!AZ32&lt;&gt;"L",ASISTENCIA!AZ32&lt;&gt;"J",ASISTENCIA!AZ32&lt;&gt;"F"),SUMIF($F$13:$J$13,BC$13,$F33:$J33),"")</f>
        <v/>
      </c>
      <c r="BD33" s="168" t="str">
        <f>IF(AND(LEN($D33)&gt;0,SUMIF($F$13:$J$13,BD$13,$F33:$J33)&gt;0,ASISTENCIA!BA32&lt;&gt;"X",ASISTENCIA!BA32&lt;&gt;"L",ASISTENCIA!BA32&lt;&gt;"J",ASISTENCIA!BA32&lt;&gt;"F"),SUMIF($F$13:$J$13,BD$13,$F33:$J33),"")</f>
        <v/>
      </c>
      <c r="BE33" s="168" t="str">
        <f>IF(AND(LEN($D33)&gt;0,SUMIF($F$13:$J$13,BE$13,$F33:$J33)&gt;0,ASISTENCIA!BB32&lt;&gt;"X",ASISTENCIA!BB32&lt;&gt;"L",ASISTENCIA!BB32&lt;&gt;"J",ASISTENCIA!BB32&lt;&gt;"F"),SUMIF($F$13:$J$13,BE$13,$F33:$J33),"")</f>
        <v/>
      </c>
      <c r="BF33" s="168" t="str">
        <f>IF(AND(LEN($D33)&gt;0,SUMIF($F$13:$J$13,BF$13,$F33:$J33)&gt;0,ASISTENCIA!#REF!&lt;&gt;"X",ASISTENCIA!#REF!&lt;&gt;"L",ASISTENCIA!#REF!&lt;&gt;"J",ASISTENCIA!#REF!&lt;&gt;"F"),SUMIF($F$13:$J$13,BF$13,$F33:$J33),"")</f>
        <v>#ERROR!</v>
      </c>
      <c r="BG33" s="168" t="str">
        <f>IF(AND(LEN($D33)&gt;0,SUMIF($F$13:$J$13,BG$13,$F33:$J33)&gt;0,ASISTENCIA!#REF!&lt;&gt;"X",ASISTENCIA!#REF!&lt;&gt;"L",ASISTENCIA!#REF!&lt;&gt;"J",ASISTENCIA!#REF!&lt;&gt;"F"),SUMIF($F$13:$J$13,BG$13,$F33:$J33),"")</f>
        <v>#ERROR!</v>
      </c>
      <c r="BH33" s="168" t="str">
        <f>IF(AND(LEN($D33)&gt;0,SUMIF($F$13:$J$13,BH$13,$F33:$J33)&gt;0,ASISTENCIA!BE32&lt;&gt;"X",ASISTENCIA!BE32&lt;&gt;"L",ASISTENCIA!BE32&lt;&gt;"J",ASISTENCIA!BE32&lt;&gt;"F"),SUMIF($F$13:$J$13,BH$13,$F33:$J33),"")</f>
        <v/>
      </c>
      <c r="BI33" s="168" t="str">
        <f>IF(AND(LEN($D33)&gt;0,SUMIF($F$13:$J$13,BI$13,$F33:$J33)&gt;0,ASISTENCIA!BF32&lt;&gt;"X",ASISTENCIA!BF32&lt;&gt;"L",ASISTENCIA!BF32&lt;&gt;"J",ASISTENCIA!BF32&lt;&gt;"F"),SUMIF($F$13:$J$13,BI$13,$F33:$J33),"")</f>
        <v/>
      </c>
      <c r="BJ33" s="168" t="str">
        <f>IF(AND(LEN($D33)&gt;0,SUMIF($F$13:$J$13,BJ$13,$F33:$J33)&gt;0,ASISTENCIA!BG32&lt;&gt;"X",ASISTENCIA!BG32&lt;&gt;"L",ASISTENCIA!BG32&lt;&gt;"J",ASISTENCIA!BG32&lt;&gt;"F"),SUMIF($F$13:$J$13,BJ$13,$F33:$J33),"")</f>
        <v/>
      </c>
      <c r="BK33" s="168" t="str">
        <f>IF(AND(LEN($D33)&gt;0,SUMIF($F$13:$J$13,BK$13,$F33:$J33)&gt;0,ASISTENCIA!BH32&lt;&gt;"X",ASISTENCIA!BH32&lt;&gt;"L",ASISTENCIA!BH32&lt;&gt;"J",ASISTENCIA!BH32&lt;&gt;"F"),SUMIF($F$13:$J$13,BK$13,$F33:$J33),"")</f>
        <v/>
      </c>
      <c r="BL33" s="168" t="str">
        <f>IF(AND(LEN($D33)&gt;0,SUMIF($F$13:$J$13,BL$13,$F33:$J33)&gt;0,ASISTENCIA!BI32&lt;&gt;"X",ASISTENCIA!BI32&lt;&gt;"L",ASISTENCIA!BI32&lt;&gt;"J",ASISTENCIA!BI32&lt;&gt;"F"),SUMIF($F$13:$J$13,BL$13,$F33:$J33),"")</f>
        <v/>
      </c>
      <c r="BM33" s="168" t="str">
        <f>IF(AND(LEN($D33)&gt;0,SUMIF($F$13:$J$13,BM$13,$F33:$J33)&gt;0,ASISTENCIA!BJ32&lt;&gt;"X",ASISTENCIA!BJ32&lt;&gt;"L",ASISTENCIA!BJ32&lt;&gt;"J",ASISTENCIA!BJ32&lt;&gt;"F"),SUMIF($F$13:$J$13,BM$13,$F33:$J33),"")</f>
        <v/>
      </c>
      <c r="BN33" s="168" t="str">
        <f>IF(AND(LEN($D33)&gt;0,SUMIF($F$13:$J$13,BN$13,$F33:$J33)&gt;0,ASISTENCIA!BK32&lt;&gt;"X",ASISTENCIA!BK32&lt;&gt;"L",ASISTENCIA!BK32&lt;&gt;"J",ASISTENCIA!BK32&lt;&gt;"F"),SUMIF($F$13:$J$13,BN$13,$F33:$J33),"")</f>
        <v/>
      </c>
      <c r="BO33" s="168" t="str">
        <f>IF(AND(LEN($D33)&gt;0,SUMIF($F$13:$J$13,BO$13,$F33:$J33)&gt;0,ASISTENCIA!BL32&lt;&gt;"X",ASISTENCIA!BL32&lt;&gt;"L",ASISTENCIA!BL32&lt;&gt;"J",ASISTENCIA!BL32&lt;&gt;"F"),SUMIF($F$13:$J$13,BO$13,$F33:$J33),"")</f>
        <v/>
      </c>
      <c r="BP33" s="168" t="str">
        <f>IF(AND(LEN($D33)&gt;0,SUMIF($F$13:$J$13,BP$13,$F33:$J33)&gt;0,ASISTENCIA!BM32&lt;&gt;"X",ASISTENCIA!BM32&lt;&gt;"L",ASISTENCIA!BM32&lt;&gt;"J",ASISTENCIA!BM32&lt;&gt;"F"),SUMIF($F$13:$J$13,BP$13,$F33:$J33),"")</f>
        <v/>
      </c>
      <c r="BQ33" s="168" t="str">
        <f>IF(AND(LEN($D33)&gt;0,SUMIF($F$13:$J$13,BQ$13,$F33:$J33)&gt;0,ASISTENCIA!BN32&lt;&gt;"X",ASISTENCIA!BN32&lt;&gt;"L",ASISTENCIA!BN32&lt;&gt;"J",ASISTENCIA!BN32&lt;&gt;"F"),SUMIF($F$13:$J$13,BQ$13,$F33:$J33),"")</f>
        <v/>
      </c>
      <c r="BR33" s="168" t="str">
        <f>IF(AND(LEN($D33)&gt;0,SUMIF($F$13:$J$13,BR$13,$F33:$J33)&gt;0,ASISTENCIA!BO32&lt;&gt;"X",ASISTENCIA!BO32&lt;&gt;"L",ASISTENCIA!BO32&lt;&gt;"J",ASISTENCIA!BO32&lt;&gt;"F"),SUMIF($F$13:$J$13,BR$13,$F33:$J33),"")</f>
        <v/>
      </c>
      <c r="BS33" s="168" t="str">
        <f>IF(AND(LEN($D33)&gt;0,SUMIF($F$13:$J$13,BS$13,$F33:$J33)&gt;0,ASISTENCIA!BP32&lt;&gt;"X",ASISTENCIA!BP32&lt;&gt;"L",ASISTENCIA!BP32&lt;&gt;"J",ASISTENCIA!BP32&lt;&gt;"F"),SUMIF($F$13:$J$13,BS$13,$F33:$J33),"")</f>
        <v/>
      </c>
      <c r="BT33" s="168" t="str">
        <f>IF(AND(LEN($D33)&gt;0,SUMIF($F$13:$J$13,BT$13,$F33:$J33)&gt;0,ASISTENCIA!BQ32&lt;&gt;"X",ASISTENCIA!BQ32&lt;&gt;"L",ASISTENCIA!BQ32&lt;&gt;"J",ASISTENCIA!BQ32&lt;&gt;"F"),SUMIF($F$13:$J$13,BT$13,$F33:$J33),"")</f>
        <v/>
      </c>
      <c r="BU33" s="168" t="str">
        <f>IF(AND(LEN($D33)&gt;0,SUMIF($F$13:$J$13,BU$13,$F33:$J33)&gt;0,ASISTENCIA!BR32&lt;&gt;"X",ASISTENCIA!BR32&lt;&gt;"L",ASISTENCIA!BR32&lt;&gt;"J",ASISTENCIA!BR32&lt;&gt;"F"),SUMIF($F$13:$J$13,BU$13,$F33:$J33),"")</f>
        <v/>
      </c>
      <c r="BV33" s="168" t="str">
        <f>IF(AND(LEN($D33)&gt;0,SUMIF($F$13:$J$13,BV$13,$F33:$J33)&gt;0,ASISTENCIA!BS32&lt;&gt;"X",ASISTENCIA!BS32&lt;&gt;"L",ASISTENCIA!BS32&lt;&gt;"J",ASISTENCIA!BS32&lt;&gt;"F"),SUMIF($F$13:$J$13,BV$13,$F33:$J33),"")</f>
        <v/>
      </c>
      <c r="BW33" s="168" t="str">
        <f>IF(AND(LEN($D33)&gt;0,SUMIF($F$13:$J$13,BW$13,$F33:$J33)&gt;0,ASISTENCIA!BT32&lt;&gt;"X",ASISTENCIA!BT32&lt;&gt;"L",ASISTENCIA!BT32&lt;&gt;"J",ASISTENCIA!BT32&lt;&gt;"F"),SUMIF($F$13:$J$13,BW$13,$F33:$J33),"")</f>
        <v/>
      </c>
      <c r="BX33" s="168" t="str">
        <f>IF(AND(LEN($D33)&gt;0,SUMIF($F$13:$J$13,BX$13,$F33:$J33)&gt;0,ASISTENCIA!BU32&lt;&gt;"X",ASISTENCIA!BU32&lt;&gt;"L",ASISTENCIA!BU32&lt;&gt;"J",ASISTENCIA!BU32&lt;&gt;"F"),SUMIF($F$13:$J$13,BX$13,$F33:$J33),"")</f>
        <v/>
      </c>
      <c r="BY33" s="168" t="str">
        <f>IF(AND(LEN($D33)&gt;0,SUMIF($F$13:$J$13,BY$13,$F33:$J33)&gt;0,ASISTENCIA!BV32&lt;&gt;"X",ASISTENCIA!BV32&lt;&gt;"L",ASISTENCIA!BV32&lt;&gt;"J",ASISTENCIA!BV32&lt;&gt;"F"),SUMIF($F$13:$J$13,BY$13,$F33:$J33),"")</f>
        <v/>
      </c>
      <c r="BZ33" s="168" t="str">
        <f>IF(AND(LEN($D33)&gt;0,SUMIF($F$13:$J$13,BZ$13,$F33:$J33)&gt;0,ASISTENCIA!BW32&lt;&gt;"X",ASISTENCIA!BW32&lt;&gt;"L",ASISTENCIA!BW32&lt;&gt;"J",ASISTENCIA!BW32&lt;&gt;"F"),SUMIF($F$13:$J$13,BZ$13,$F33:$J33),"")</f>
        <v/>
      </c>
      <c r="CA33" s="168" t="str">
        <f>IF(AND(LEN($D33)&gt;0,SUMIF($F$13:$J$13,CA$13,$F33:$J33)&gt;0,ASISTENCIA!BX32&lt;&gt;"X",ASISTENCIA!BX32&lt;&gt;"L",ASISTENCIA!BX32&lt;&gt;"J",ASISTENCIA!BX32&lt;&gt;"F"),SUMIF($F$13:$J$13,CA$13,$F33:$J33),"")</f>
        <v/>
      </c>
      <c r="CB33" s="168" t="str">
        <f>IF(AND(LEN($D33)&gt;0,SUMIF($F$13:$J$13,CB$13,$F33:$J33)&gt;0,ASISTENCIA!BY32&lt;&gt;"X",ASISTENCIA!BY32&lt;&gt;"L",ASISTENCIA!BY32&lt;&gt;"J",ASISTENCIA!BY32&lt;&gt;"F"),SUMIF($F$13:$J$13,CB$13,$F33:$J33),"")</f>
        <v/>
      </c>
      <c r="CC33" s="182" t="str">
        <f t="shared" si="5"/>
        <v>#ERROR!</v>
      </c>
      <c r="CD33" s="10"/>
    </row>
    <row r="34" ht="12.75" customHeight="1">
      <c r="A34" s="132" t="str">
        <f t="shared" si="6"/>
        <v/>
      </c>
      <c r="B34" s="183" t="str">
        <f>IF(LEN(C34)&gt;0,VLOOKUP($O$4,DATA!$A$1:$S$1,2,FALSE),"")</f>
        <v/>
      </c>
      <c r="C34" s="184" t="str">
        <f t="shared" si="1"/>
        <v/>
      </c>
      <c r="D34" s="136" t="str">
        <f>IF(LEN(ASISTENCIA!E33)&gt;0,ASISTENCIA!E33,"")</f>
        <v/>
      </c>
      <c r="E34" s="167" t="str">
        <f>IF(LEN(D34)&gt;0,ASISTENCIA!F33,"")</f>
        <v/>
      </c>
      <c r="F34" s="180"/>
      <c r="G34" s="180"/>
      <c r="H34" s="180"/>
      <c r="I34" s="180"/>
      <c r="J34" s="180"/>
      <c r="K34" s="168" t="str">
        <f t="shared" si="2"/>
        <v/>
      </c>
      <c r="L34" s="185"/>
      <c r="M34" s="168"/>
      <c r="N34" s="168" t="str">
        <f t="shared" si="3"/>
        <v>#ERROR!</v>
      </c>
      <c r="O34" s="168" t="str">
        <f>IF(AND(LEN($D34)&gt;0,SUMIF($F$13:$J$13,O$13,$F34:$J34)&gt;0,ASISTENCIA!I33&lt;&gt;"X",ASISTENCIA!I33&lt;&gt;"L",ASISTENCIA!I33&lt;&gt;"J",ASISTENCIA!I33&lt;&gt;"V",ASISTENCIA!I33&lt;&gt;"F",ASISTENCIA!I33&lt;&gt;""),SUMIF($F$13:$J$13,O$13,$F34:$J34),"")</f>
        <v/>
      </c>
      <c r="P34" s="168" t="str">
        <f>IF(AND(LEN($D34)&gt;0,SUMIF($F$13:$J$13,P$13,$F34:$J34)&gt;0,ASISTENCIA!J33&lt;&gt;"X",ASISTENCIA!J33&lt;&gt;"L",ASISTENCIA!J33&lt;&gt;"J",ASISTENCIA!J33&lt;&gt;"V",ASISTENCIA!J33&lt;&gt;"F",ASISTENCIA!J33&lt;&gt;""),SUMIF($F$13:$J$13,P$13,$F34:$J34),"")</f>
        <v/>
      </c>
      <c r="Q34" s="168" t="str">
        <f>IF(AND(LEN($D34)&gt;0,SUMIF($F$13:$J$13,Q$13,$F34:$J34)&gt;0,ASISTENCIA!K33&lt;&gt;"X",ASISTENCIA!K33&lt;&gt;"L",ASISTENCIA!K33&lt;&gt;"J",ASISTENCIA!K33&lt;&gt;"V",ASISTENCIA!K33&lt;&gt;"F",ASISTENCIA!K33&lt;&gt;""),SUMIF($F$13:$J$13,Q$13,$F34:$J34),"")</f>
        <v/>
      </c>
      <c r="R34" s="168" t="str">
        <f>IF(AND(LEN($D34)&gt;0,SUMIF($F$13:$J$13,R$13,$F34:$J34)&gt;0,ASISTENCIA!L33&lt;&gt;"X",ASISTENCIA!L33&lt;&gt;"L",ASISTENCIA!L33&lt;&gt;"J",ASISTENCIA!L33&lt;&gt;"V",ASISTENCIA!L33&lt;&gt;"F",ASISTENCIA!L33&lt;&gt;""),SUMIF($F$13:$J$13,R$13,$F34:$J34),"")</f>
        <v/>
      </c>
      <c r="S34" s="168" t="str">
        <f>IF(AND(LEN($D34)&gt;0,SUMIF($F$13:$J$13,S$13,$F34:$J34)&gt;0,ASISTENCIA!M33&lt;&gt;"X",ASISTENCIA!M33&lt;&gt;"L",ASISTENCIA!M33&lt;&gt;"J",ASISTENCIA!M33&lt;&gt;"V",ASISTENCIA!M33&lt;&gt;"F",ASISTENCIA!M33&lt;&gt;""),SUMIF($F$13:$J$13,S$13,$F34:$J34),"")</f>
        <v/>
      </c>
      <c r="T34" s="168" t="str">
        <f>IF(AND(LEN($D34)&gt;0,SUMIF($F$13:$J$13,T$13,$F34:$J34)&gt;0,ASISTENCIA!N33&lt;&gt;"X",ASISTENCIA!N33&lt;&gt;"L",ASISTENCIA!N33&lt;&gt;"J",ASISTENCIA!N33&lt;&gt;"V",ASISTENCIA!N33&lt;&gt;"F",ASISTENCIA!N33&lt;&gt;""),SUMIF($F$13:$J$13,T$13,$F34:$J34),"")</f>
        <v/>
      </c>
      <c r="U34" s="168" t="str">
        <f>IF(AND(LEN($D34)&gt;0,SUMIF($F$13:$J$13,U$13,$F34:$J34)&gt;0,ASISTENCIA!O33&lt;&gt;"X",ASISTENCIA!O33&lt;&gt;"L",ASISTENCIA!O33&lt;&gt;"J",ASISTENCIA!O33&lt;&gt;"V",ASISTENCIA!O33&lt;&gt;"F",ASISTENCIA!O33&lt;&gt;""),SUMIF($F$13:$J$13,U$13,$F34:$J34),"")</f>
        <v/>
      </c>
      <c r="V34" s="168" t="str">
        <f>IF(AND(LEN($D34)&gt;0,SUMIF($F$13:$J$13,V$13,$F34:$J34)&gt;0,ASISTENCIA!P33&lt;&gt;"X",ASISTENCIA!P33&lt;&gt;"L",ASISTENCIA!P33&lt;&gt;"J",ASISTENCIA!P33&lt;&gt;"V",ASISTENCIA!P33&lt;&gt;"F",ASISTENCIA!P33&lt;&gt;""),SUMIF($F$13:$J$13,V$13,$F34:$J34),"")</f>
        <v/>
      </c>
      <c r="W34" s="168" t="str">
        <f>IF(AND(LEN($D34)&gt;0,SUMIF($F$13:$J$13,W$13,$F34:$J34)&gt;0,ASISTENCIA!Q33&lt;&gt;"X",ASISTENCIA!Q33&lt;&gt;"L",ASISTENCIA!Q33&lt;&gt;"J",ASISTENCIA!Q33&lt;&gt;"V",ASISTENCIA!Q33&lt;&gt;"F",ASISTENCIA!Q33&lt;&gt;""),SUMIF($F$13:$J$13,W$13,$F34:$J34),"")</f>
        <v/>
      </c>
      <c r="X34" s="168" t="str">
        <f>IF(AND(LEN($D34)&gt;0,SUMIF($F$13:$J$13,X$13,$F34:$J34)&gt;0,ASISTENCIA!R33&lt;&gt;"X",ASISTENCIA!R33&lt;&gt;"L",ASISTENCIA!R33&lt;&gt;"J",ASISTENCIA!R33&lt;&gt;"V",ASISTENCIA!R33&lt;&gt;"F",ASISTENCIA!R33&lt;&gt;""),SUMIF($F$13:$J$13,X$13,$F34:$J34),"")</f>
        <v/>
      </c>
      <c r="Y34" s="168" t="str">
        <f>IF(AND(LEN($D34)&gt;0,SUMIF($F$13:$J$13,Y$13,$F34:$J34)&gt;0,ASISTENCIA!S33&lt;&gt;"X",ASISTENCIA!S33&lt;&gt;"L",ASISTENCIA!S33&lt;&gt;"J",ASISTENCIA!S33&lt;&gt;"V",ASISTENCIA!S33&lt;&gt;"F",ASISTENCIA!S33&lt;&gt;""),SUMIF($F$13:$J$13,Y$13,$F34:$J34),"")</f>
        <v/>
      </c>
      <c r="Z34" s="168" t="str">
        <f>IF(AND(LEN($D34)&gt;0,SUMIF($F$13:$J$13,Z$13,$F34:$J34)&gt;0,ASISTENCIA!T33&lt;&gt;"X",ASISTENCIA!T33&lt;&gt;"L",ASISTENCIA!T33&lt;&gt;"J",ASISTENCIA!T33&lt;&gt;"V",ASISTENCIA!T33&lt;&gt;"F",ASISTENCIA!T33&lt;&gt;""),SUMIF($F$13:$J$13,Z$13,$F34:$J34),"")</f>
        <v/>
      </c>
      <c r="AA34" s="168" t="str">
        <f>IF(AND(LEN($D34)&gt;0,SUMIF($F$13:$J$13,AA$13,$F34:$J34)&gt;0,ASISTENCIA!U33&lt;&gt;"X",ASISTENCIA!U33&lt;&gt;"L",ASISTENCIA!U33&lt;&gt;"J",ASISTENCIA!U33&lt;&gt;"V",ASISTENCIA!U33&lt;&gt;"F",ASISTENCIA!U33&lt;&gt;""),SUMIF($F$13:$J$13,AA$13,$F34:$J34),"")</f>
        <v/>
      </c>
      <c r="AB34" s="168" t="str">
        <f>IF(AND(LEN($D34)&gt;0,SUMIF($F$13:$J$13,AB$13,$F34:$J34)&gt;0,ASISTENCIA!V33&lt;&gt;"X",ASISTENCIA!V33&lt;&gt;"L",ASISTENCIA!V33&lt;&gt;"J",ASISTENCIA!V33&lt;&gt;"V",ASISTENCIA!V33&lt;&gt;"F",ASISTENCIA!V33&lt;&gt;""),SUMIF($F$13:$J$13,AB$13,$F34:$J34),"")</f>
        <v/>
      </c>
      <c r="AC34" s="168" t="str">
        <f>IF(AND(LEN($D34)&gt;0,SUMIF($F$13:$J$13,AC$13,$F34:$J34)&gt;0,ASISTENCIA!W33&lt;&gt;"X",ASISTENCIA!W33&lt;&gt;"L",ASISTENCIA!W33&lt;&gt;"J",ASISTENCIA!W33&lt;&gt;"V",ASISTENCIA!W33&lt;&gt;"F",ASISTENCIA!W33&lt;&gt;""),SUMIF($F$13:$J$13,AC$13,$F34:$J34),"")</f>
        <v/>
      </c>
      <c r="AD34" s="168" t="str">
        <f>IF(AND(LEN($D34)&gt;0,SUMIF($F$13:$J$13,AD$13,$F34:$J34)&gt;0,ASISTENCIA!X33&lt;&gt;"X",ASISTENCIA!X33&lt;&gt;"L",ASISTENCIA!X33&lt;&gt;"J",ASISTENCIA!X33&lt;&gt;"V",ASISTENCIA!X33&lt;&gt;"F",ASISTENCIA!X33&lt;&gt;""),SUMIF($F$13:$J$13,AD$13,$F34:$J34),"")</f>
        <v/>
      </c>
      <c r="AE34" s="168" t="str">
        <f>IF(AND(LEN($D34)&gt;0,SUMIF($F$13:$J$13,AE$13,$F34:$J34)&gt;0,ASISTENCIA!Y33&lt;&gt;"X",ASISTENCIA!Y33&lt;&gt;"L",ASISTENCIA!Y33&lt;&gt;"J",ASISTENCIA!Y33&lt;&gt;"V",ASISTENCIA!Y33&lt;&gt;"F",ASISTENCIA!Y33&lt;&gt;""),SUMIF($F$13:$J$13,AE$13,$F34:$J34),"")</f>
        <v/>
      </c>
      <c r="AF34" s="168" t="str">
        <f>IF(AND(LEN($D34)&gt;0,SUMIF($F$13:$J$13,AF$13,$F34:$J34)&gt;0,ASISTENCIA!Z33&lt;&gt;"X",ASISTENCIA!Z33&lt;&gt;"L",ASISTENCIA!Z33&lt;&gt;"J",ASISTENCIA!Z33&lt;&gt;"V",ASISTENCIA!Z33&lt;&gt;"F",ASISTENCIA!Z33&lt;&gt;""),SUMIF($F$13:$J$13,AF$13,$F34:$J34),"")</f>
        <v/>
      </c>
      <c r="AG34" s="168" t="str">
        <f>IF(AND(LEN($D34)&gt;0,SUMIF($F$13:$J$13,AG$13,$F34:$J34)&gt;0,ASISTENCIA!AA33&lt;&gt;"X",ASISTENCIA!AA33&lt;&gt;"L",ASISTENCIA!AA33&lt;&gt;"J",ASISTENCIA!AA33&lt;&gt;"V",ASISTENCIA!AA33&lt;&gt;"F",ASISTENCIA!AA33&lt;&gt;""),SUMIF($F$13:$J$13,AG$13,$F34:$J34),"")</f>
        <v/>
      </c>
      <c r="AH34" s="168" t="str">
        <f>IF(AND(LEN($D34)&gt;0,SUMIF($F$13:$J$13,AH$13,$F34:$J34)&gt;0,ASISTENCIA!AB33&lt;&gt;"X",ASISTENCIA!AB33&lt;&gt;"L",ASISTENCIA!AB33&lt;&gt;"J",ASISTENCIA!AB33&lt;&gt;"V",ASISTENCIA!AB33&lt;&gt;"F",ASISTENCIA!AB33&lt;&gt;""),SUMIF($F$13:$J$13,AH$13,$F34:$J34),"")</f>
        <v/>
      </c>
      <c r="AI34" s="168" t="str">
        <f>IF(AND(LEN($D34)&gt;0,SUMIF($F$13:$J$13,AI$13,$F34:$J34)&gt;0,ASISTENCIA!AC33&lt;&gt;"X",ASISTENCIA!AC33&lt;&gt;"L",ASISTENCIA!AC33&lt;&gt;"J",ASISTENCIA!AC33&lt;&gt;"V",ASISTENCIA!AC33&lt;&gt;"F",ASISTENCIA!AC33&lt;&gt;""),SUMIF($F$13:$J$13,AI$13,$F34:$J34),"")</f>
        <v/>
      </c>
      <c r="AJ34" s="168" t="str">
        <f>IF(AND(LEN($D34)&gt;0,SUMIF($F$13:$J$13,AJ$13,$F34:$J34)&gt;0,ASISTENCIA!AD33&lt;&gt;"X",ASISTENCIA!AD33&lt;&gt;"L",ASISTENCIA!AD33&lt;&gt;"J",ASISTENCIA!AD33&lt;&gt;"V",ASISTENCIA!AD33&lt;&gt;"F",ASISTENCIA!AD33&lt;&gt;""),SUMIF($F$13:$J$13,AJ$13,$F34:$J34),"")</f>
        <v/>
      </c>
      <c r="AK34" s="168" t="str">
        <f>IF(AND(LEN($D34)&gt;0,SUMIF($F$13:$J$13,AK$13,$F34:$J34)&gt;0,ASISTENCIA!AE33&lt;&gt;"X",ASISTENCIA!AE33&lt;&gt;"L",ASISTENCIA!AE33&lt;&gt;"J",ASISTENCIA!AE33&lt;&gt;"V",ASISTENCIA!AE33&lt;&gt;"F",ASISTENCIA!AE33&lt;&gt;""),SUMIF($F$13:$J$13,AK$13,$F34:$J34),"")</f>
        <v/>
      </c>
      <c r="AL34" s="168" t="str">
        <f>IF(AND(LEN($D34)&gt;0,SUMIF($F$13:$J$13,AL$13,$F34:$J34)&gt;0,ASISTENCIA!AF33&lt;&gt;"X",ASISTENCIA!AF33&lt;&gt;"L",ASISTENCIA!AF33&lt;&gt;"J",ASISTENCIA!AF33&lt;&gt;"V",ASISTENCIA!AF33&lt;&gt;"F",ASISTENCIA!AF33&lt;&gt;""),SUMIF($F$13:$J$13,AL$13,$F34:$J34),"")</f>
        <v/>
      </c>
      <c r="AM34" s="168" t="str">
        <f>IF(AND(LEN($D34)&gt;0,SUMIF($F$13:$J$13,AM$13,$F34:$J34)&gt;0,ASISTENCIA!AG33&lt;&gt;"X",ASISTENCIA!AG33&lt;&gt;"L",ASISTENCIA!AG33&lt;&gt;"J",ASISTENCIA!AG33&lt;&gt;"V",ASISTENCIA!AG33&lt;&gt;"F",ASISTENCIA!AG33&lt;&gt;""),SUMIF($F$13:$J$13,AM$13,$F34:$J34),"")</f>
        <v/>
      </c>
      <c r="AN34" s="168" t="str">
        <f>IF(AND(LEN($D34)&gt;0,SUMIF($F$13:$J$13,AN$13,$F34:$J34)&gt;0,ASISTENCIA!AH33&lt;&gt;"X",ASISTENCIA!AH33&lt;&gt;"L",ASISTENCIA!AH33&lt;&gt;"J",ASISTENCIA!AH33&lt;&gt;"V",ASISTENCIA!AH33&lt;&gt;"F",ASISTENCIA!AH33&lt;&gt;""),SUMIF($F$13:$J$13,AN$13,$F34:$J34),"")</f>
        <v/>
      </c>
      <c r="AO34" s="168" t="str">
        <f>IF(AND(LEN($D34)&gt;0,SUMIF($F$13:$J$13,AO$13,$F34:$J34)&gt;0,ASISTENCIA!AI33&lt;&gt;"X",ASISTENCIA!AI33&lt;&gt;"L",ASISTENCIA!AI33&lt;&gt;"J",ASISTENCIA!AI33&lt;&gt;"V",ASISTENCIA!AI33&lt;&gt;"F",ASISTENCIA!AI33&lt;&gt;""),SUMIF($F$13:$J$13,AO$13,$F34:$J34),"")</f>
        <v/>
      </c>
      <c r="AP34" s="168" t="str">
        <f>IF(AND(LEN($D34)&gt;0,SUMIF($F$13:$J$13,AP$13,$F34:$J34)&gt;0,ASISTENCIA!AJ33&lt;&gt;"X",ASISTENCIA!AJ33&lt;&gt;"L",ASISTENCIA!AJ33&lt;&gt;"J",ASISTENCIA!AJ33&lt;&gt;"V",ASISTENCIA!AJ33&lt;&gt;"F",ASISTENCIA!AJ33&lt;&gt;""),SUMIF($F$13:$J$13,AP$13,$F34:$J34),"")</f>
        <v/>
      </c>
      <c r="AQ34" s="168" t="str">
        <f>IF(AND(LEN($D34)&gt;0,SUMIF($F$13:$J$13,AQ$13,$F34:$J34)&gt;0,ASISTENCIA!AK33&lt;&gt;"X",ASISTENCIA!AK33&lt;&gt;"L",ASISTENCIA!AK33&lt;&gt;"J",ASISTENCIA!AK33&lt;&gt;"V",ASISTENCIA!AK33&lt;&gt;"F",ASISTENCIA!AK33&lt;&gt;""),SUMIF($F$13:$J$13,AQ$13,$F34:$J34),"")</f>
        <v/>
      </c>
      <c r="AR34" s="168" t="str">
        <f>IF(AND(LEN($D34)&gt;0,SUMIF($F$13:$J$13,AR$13,$F34:$J34)&gt;0,ASISTENCIA!AL33&lt;&gt;"X",ASISTENCIA!AL33&lt;&gt;"L",ASISTENCIA!AL33&lt;&gt;"J",ASISTENCIA!AL33&lt;&gt;"V",ASISTENCIA!AL33&lt;&gt;"F",ASISTENCIA!AL33&lt;&gt;""),SUMIF($F$13:$J$13,AR$13,$F34:$J34),"")</f>
        <v/>
      </c>
      <c r="AS34" s="168" t="str">
        <f>IF(AND(LEN($D34)&gt;0,SUMIF($F$13:$J$13,AS$13,$F34:$J34)&gt;0,ASISTENCIA!AM33&lt;&gt;"X",ASISTENCIA!AM33&lt;&gt;"L",ASISTENCIA!AM33&lt;&gt;"J",ASISTENCIA!AM33&lt;&gt;"V",ASISTENCIA!AM33&lt;&gt;"F",ASISTENCIA!AM33&lt;&gt;""),SUMIF($F$13:$J$13,AS$13,$F34:$J34),"")</f>
        <v/>
      </c>
      <c r="AT34" s="182" t="str">
        <f t="shared" si="4"/>
        <v/>
      </c>
      <c r="AU34" s="10"/>
      <c r="AV34" s="10"/>
      <c r="AW34" s="10"/>
      <c r="AX34" s="168" t="str">
        <f>IF(AND(LEN($D34)&gt;0,SUMIF($F$13:$J$13,AX$13,$F34:$J34)&gt;0,ASISTENCIA!AU33&lt;&gt;"X",ASISTENCIA!AU33&lt;&gt;"L",ASISTENCIA!AU33&lt;&gt;"J",ASISTENCIA!AU33&lt;&gt;"F"),SUMIF($F$13:$J$13,AX$13,$F34:$J34),"")</f>
        <v/>
      </c>
      <c r="AY34" s="168" t="str">
        <f>IF(AND(LEN($D34)&gt;0,SUMIF($F$13:$J$13,AY$13,$F34:$J34)&gt;0,ASISTENCIA!AV33&lt;&gt;"X",ASISTENCIA!AV33&lt;&gt;"L",ASISTENCIA!AV33&lt;&gt;"J",ASISTENCIA!AV33&lt;&gt;"F"),SUMIF($F$13:$J$13,AY$13,$F34:$J34),"")</f>
        <v/>
      </c>
      <c r="AZ34" s="168" t="str">
        <f>IF(AND(LEN($D34)&gt;0,SUMIF($F$13:$J$13,AZ$13,$F34:$J34)&gt;0,ASISTENCIA!AW33&lt;&gt;"X",ASISTENCIA!AW33&lt;&gt;"L",ASISTENCIA!AW33&lt;&gt;"J",ASISTENCIA!AW33&lt;&gt;"F"),SUMIF($F$13:$J$13,AZ$13,$F34:$J34),"")</f>
        <v/>
      </c>
      <c r="BA34" s="168" t="str">
        <f>IF(AND(LEN($D34)&gt;0,SUMIF($F$13:$J$13,BA$13,$F34:$J34)&gt;0,ASISTENCIA!AX33&lt;&gt;"X",ASISTENCIA!AX33&lt;&gt;"L",ASISTENCIA!AX33&lt;&gt;"J",ASISTENCIA!AX33&lt;&gt;"F"),SUMIF($F$13:$J$13,BA$13,$F34:$J34),"")</f>
        <v/>
      </c>
      <c r="BB34" s="168" t="str">
        <f>IF(AND(LEN($D34)&gt;0,SUMIF($F$13:$J$13,BB$13,$F34:$J34)&gt;0,ASISTENCIA!AY33&lt;&gt;"X",ASISTENCIA!AY33&lt;&gt;"L",ASISTENCIA!AY33&lt;&gt;"J",ASISTENCIA!AY33&lt;&gt;"F"),SUMIF($F$13:$J$13,BB$13,$F34:$J34),"")</f>
        <v/>
      </c>
      <c r="BC34" s="168" t="str">
        <f>IF(AND(LEN($D34)&gt;0,SUMIF($F$13:$J$13,BC$13,$F34:$J34)&gt;0,ASISTENCIA!AZ33&lt;&gt;"X",ASISTENCIA!AZ33&lt;&gt;"L",ASISTENCIA!AZ33&lt;&gt;"J",ASISTENCIA!AZ33&lt;&gt;"F"),SUMIF($F$13:$J$13,BC$13,$F34:$J34),"")</f>
        <v/>
      </c>
      <c r="BD34" s="168" t="str">
        <f>IF(AND(LEN($D34)&gt;0,SUMIF($F$13:$J$13,BD$13,$F34:$J34)&gt;0,ASISTENCIA!BA33&lt;&gt;"X",ASISTENCIA!BA33&lt;&gt;"L",ASISTENCIA!BA33&lt;&gt;"J",ASISTENCIA!BA33&lt;&gt;"F"),SUMIF($F$13:$J$13,BD$13,$F34:$J34),"")</f>
        <v/>
      </c>
      <c r="BE34" s="168" t="str">
        <f>IF(AND(LEN($D34)&gt;0,SUMIF($F$13:$J$13,BE$13,$F34:$J34)&gt;0,ASISTENCIA!BB33&lt;&gt;"X",ASISTENCIA!BB33&lt;&gt;"L",ASISTENCIA!BB33&lt;&gt;"J",ASISTENCIA!BB33&lt;&gt;"F"),SUMIF($F$13:$J$13,BE$13,$F34:$J34),"")</f>
        <v/>
      </c>
      <c r="BF34" s="168" t="str">
        <f>IF(AND(LEN($D34)&gt;0,SUMIF($F$13:$J$13,BF$13,$F34:$J34)&gt;0,ASISTENCIA!#REF!&lt;&gt;"X",ASISTENCIA!#REF!&lt;&gt;"L",ASISTENCIA!#REF!&lt;&gt;"J",ASISTENCIA!#REF!&lt;&gt;"F"),SUMIF($F$13:$J$13,BF$13,$F34:$J34),"")</f>
        <v>#ERROR!</v>
      </c>
      <c r="BG34" s="168" t="str">
        <f>IF(AND(LEN($D34)&gt;0,SUMIF($F$13:$J$13,BG$13,$F34:$J34)&gt;0,ASISTENCIA!#REF!&lt;&gt;"X",ASISTENCIA!#REF!&lt;&gt;"L",ASISTENCIA!#REF!&lt;&gt;"J",ASISTENCIA!#REF!&lt;&gt;"F"),SUMIF($F$13:$J$13,BG$13,$F34:$J34),"")</f>
        <v>#ERROR!</v>
      </c>
      <c r="BH34" s="168" t="str">
        <f>IF(AND(LEN($D34)&gt;0,SUMIF($F$13:$J$13,BH$13,$F34:$J34)&gt;0,ASISTENCIA!BE33&lt;&gt;"X",ASISTENCIA!BE33&lt;&gt;"L",ASISTENCIA!BE33&lt;&gt;"J",ASISTENCIA!BE33&lt;&gt;"F"),SUMIF($F$13:$J$13,BH$13,$F34:$J34),"")</f>
        <v/>
      </c>
      <c r="BI34" s="168" t="str">
        <f>IF(AND(LEN($D34)&gt;0,SUMIF($F$13:$J$13,BI$13,$F34:$J34)&gt;0,ASISTENCIA!BF33&lt;&gt;"X",ASISTENCIA!BF33&lt;&gt;"L",ASISTENCIA!BF33&lt;&gt;"J",ASISTENCIA!BF33&lt;&gt;"F"),SUMIF($F$13:$J$13,BI$13,$F34:$J34),"")</f>
        <v/>
      </c>
      <c r="BJ34" s="168" t="str">
        <f>IF(AND(LEN($D34)&gt;0,SUMIF($F$13:$J$13,BJ$13,$F34:$J34)&gt;0,ASISTENCIA!BG33&lt;&gt;"X",ASISTENCIA!BG33&lt;&gt;"L",ASISTENCIA!BG33&lt;&gt;"J",ASISTENCIA!BG33&lt;&gt;"F"),SUMIF($F$13:$J$13,BJ$13,$F34:$J34),"")</f>
        <v/>
      </c>
      <c r="BK34" s="168" t="str">
        <f>IF(AND(LEN($D34)&gt;0,SUMIF($F$13:$J$13,BK$13,$F34:$J34)&gt;0,ASISTENCIA!BH33&lt;&gt;"X",ASISTENCIA!BH33&lt;&gt;"L",ASISTENCIA!BH33&lt;&gt;"J",ASISTENCIA!BH33&lt;&gt;"F"),SUMIF($F$13:$J$13,BK$13,$F34:$J34),"")</f>
        <v/>
      </c>
      <c r="BL34" s="168" t="str">
        <f>IF(AND(LEN($D34)&gt;0,SUMIF($F$13:$J$13,BL$13,$F34:$J34)&gt;0,ASISTENCIA!BI33&lt;&gt;"X",ASISTENCIA!BI33&lt;&gt;"L",ASISTENCIA!BI33&lt;&gt;"J",ASISTENCIA!BI33&lt;&gt;"F"),SUMIF($F$13:$J$13,BL$13,$F34:$J34),"")</f>
        <v/>
      </c>
      <c r="BM34" s="168" t="str">
        <f>IF(AND(LEN($D34)&gt;0,SUMIF($F$13:$J$13,BM$13,$F34:$J34)&gt;0,ASISTENCIA!BJ33&lt;&gt;"X",ASISTENCIA!BJ33&lt;&gt;"L",ASISTENCIA!BJ33&lt;&gt;"J",ASISTENCIA!BJ33&lt;&gt;"F"),SUMIF($F$13:$J$13,BM$13,$F34:$J34),"")</f>
        <v/>
      </c>
      <c r="BN34" s="168" t="str">
        <f>IF(AND(LEN($D34)&gt;0,SUMIF($F$13:$J$13,BN$13,$F34:$J34)&gt;0,ASISTENCIA!BK33&lt;&gt;"X",ASISTENCIA!BK33&lt;&gt;"L",ASISTENCIA!BK33&lt;&gt;"J",ASISTENCIA!BK33&lt;&gt;"F"),SUMIF($F$13:$J$13,BN$13,$F34:$J34),"")</f>
        <v/>
      </c>
      <c r="BO34" s="168" t="str">
        <f>IF(AND(LEN($D34)&gt;0,SUMIF($F$13:$J$13,BO$13,$F34:$J34)&gt;0,ASISTENCIA!BL33&lt;&gt;"X",ASISTENCIA!BL33&lt;&gt;"L",ASISTENCIA!BL33&lt;&gt;"J",ASISTENCIA!BL33&lt;&gt;"F"),SUMIF($F$13:$J$13,BO$13,$F34:$J34),"")</f>
        <v/>
      </c>
      <c r="BP34" s="168" t="str">
        <f>IF(AND(LEN($D34)&gt;0,SUMIF($F$13:$J$13,BP$13,$F34:$J34)&gt;0,ASISTENCIA!BM33&lt;&gt;"X",ASISTENCIA!BM33&lt;&gt;"L",ASISTENCIA!BM33&lt;&gt;"J",ASISTENCIA!BM33&lt;&gt;"F"),SUMIF($F$13:$J$13,BP$13,$F34:$J34),"")</f>
        <v/>
      </c>
      <c r="BQ34" s="168" t="str">
        <f>IF(AND(LEN($D34)&gt;0,SUMIF($F$13:$J$13,BQ$13,$F34:$J34)&gt;0,ASISTENCIA!BN33&lt;&gt;"X",ASISTENCIA!BN33&lt;&gt;"L",ASISTENCIA!BN33&lt;&gt;"J",ASISTENCIA!BN33&lt;&gt;"F"),SUMIF($F$13:$J$13,BQ$13,$F34:$J34),"")</f>
        <v/>
      </c>
      <c r="BR34" s="168" t="str">
        <f>IF(AND(LEN($D34)&gt;0,SUMIF($F$13:$J$13,BR$13,$F34:$J34)&gt;0,ASISTENCIA!BO33&lt;&gt;"X",ASISTENCIA!BO33&lt;&gt;"L",ASISTENCIA!BO33&lt;&gt;"J",ASISTENCIA!BO33&lt;&gt;"F"),SUMIF($F$13:$J$13,BR$13,$F34:$J34),"")</f>
        <v/>
      </c>
      <c r="BS34" s="168" t="str">
        <f>IF(AND(LEN($D34)&gt;0,SUMIF($F$13:$J$13,BS$13,$F34:$J34)&gt;0,ASISTENCIA!BP33&lt;&gt;"X",ASISTENCIA!BP33&lt;&gt;"L",ASISTENCIA!BP33&lt;&gt;"J",ASISTENCIA!BP33&lt;&gt;"F"),SUMIF($F$13:$J$13,BS$13,$F34:$J34),"")</f>
        <v/>
      </c>
      <c r="BT34" s="168" t="str">
        <f>IF(AND(LEN($D34)&gt;0,SUMIF($F$13:$J$13,BT$13,$F34:$J34)&gt;0,ASISTENCIA!BQ33&lt;&gt;"X",ASISTENCIA!BQ33&lt;&gt;"L",ASISTENCIA!BQ33&lt;&gt;"J",ASISTENCIA!BQ33&lt;&gt;"F"),SUMIF($F$13:$J$13,BT$13,$F34:$J34),"")</f>
        <v/>
      </c>
      <c r="BU34" s="168" t="str">
        <f>IF(AND(LEN($D34)&gt;0,SUMIF($F$13:$J$13,BU$13,$F34:$J34)&gt;0,ASISTENCIA!BR33&lt;&gt;"X",ASISTENCIA!BR33&lt;&gt;"L",ASISTENCIA!BR33&lt;&gt;"J",ASISTENCIA!BR33&lt;&gt;"F"),SUMIF($F$13:$J$13,BU$13,$F34:$J34),"")</f>
        <v/>
      </c>
      <c r="BV34" s="168" t="str">
        <f>IF(AND(LEN($D34)&gt;0,SUMIF($F$13:$J$13,BV$13,$F34:$J34)&gt;0,ASISTENCIA!BS33&lt;&gt;"X",ASISTENCIA!BS33&lt;&gt;"L",ASISTENCIA!BS33&lt;&gt;"J",ASISTENCIA!BS33&lt;&gt;"F"),SUMIF($F$13:$J$13,BV$13,$F34:$J34),"")</f>
        <v/>
      </c>
      <c r="BW34" s="168" t="str">
        <f>IF(AND(LEN($D34)&gt;0,SUMIF($F$13:$J$13,BW$13,$F34:$J34)&gt;0,ASISTENCIA!BT33&lt;&gt;"X",ASISTENCIA!BT33&lt;&gt;"L",ASISTENCIA!BT33&lt;&gt;"J",ASISTENCIA!BT33&lt;&gt;"F"),SUMIF($F$13:$J$13,BW$13,$F34:$J34),"")</f>
        <v/>
      </c>
      <c r="BX34" s="168" t="str">
        <f>IF(AND(LEN($D34)&gt;0,SUMIF($F$13:$J$13,BX$13,$F34:$J34)&gt;0,ASISTENCIA!BU33&lt;&gt;"X",ASISTENCIA!BU33&lt;&gt;"L",ASISTENCIA!BU33&lt;&gt;"J",ASISTENCIA!BU33&lt;&gt;"F"),SUMIF($F$13:$J$13,BX$13,$F34:$J34),"")</f>
        <v/>
      </c>
      <c r="BY34" s="168" t="str">
        <f>IF(AND(LEN($D34)&gt;0,SUMIF($F$13:$J$13,BY$13,$F34:$J34)&gt;0,ASISTENCIA!BV33&lt;&gt;"X",ASISTENCIA!BV33&lt;&gt;"L",ASISTENCIA!BV33&lt;&gt;"J",ASISTENCIA!BV33&lt;&gt;"F"),SUMIF($F$13:$J$13,BY$13,$F34:$J34),"")</f>
        <v/>
      </c>
      <c r="BZ34" s="168" t="str">
        <f>IF(AND(LEN($D34)&gt;0,SUMIF($F$13:$J$13,BZ$13,$F34:$J34)&gt;0,ASISTENCIA!BW33&lt;&gt;"X",ASISTENCIA!BW33&lt;&gt;"L",ASISTENCIA!BW33&lt;&gt;"J",ASISTENCIA!BW33&lt;&gt;"F"),SUMIF($F$13:$J$13,BZ$13,$F34:$J34),"")</f>
        <v/>
      </c>
      <c r="CA34" s="168" t="str">
        <f>IF(AND(LEN($D34)&gt;0,SUMIF($F$13:$J$13,CA$13,$F34:$J34)&gt;0,ASISTENCIA!BX33&lt;&gt;"X",ASISTENCIA!BX33&lt;&gt;"L",ASISTENCIA!BX33&lt;&gt;"J",ASISTENCIA!BX33&lt;&gt;"F"),SUMIF($F$13:$J$13,CA$13,$F34:$J34),"")</f>
        <v/>
      </c>
      <c r="CB34" s="168" t="str">
        <f>IF(AND(LEN($D34)&gt;0,SUMIF($F$13:$J$13,CB$13,$F34:$J34)&gt;0,ASISTENCIA!BY33&lt;&gt;"X",ASISTENCIA!BY33&lt;&gt;"L",ASISTENCIA!BY33&lt;&gt;"J",ASISTENCIA!BY33&lt;&gt;"F"),SUMIF($F$13:$J$13,CB$13,$F34:$J34),"")</f>
        <v/>
      </c>
      <c r="CC34" s="182" t="str">
        <f t="shared" si="5"/>
        <v>#ERROR!</v>
      </c>
      <c r="CD34" s="10"/>
    </row>
    <row r="35" ht="12.75" customHeight="1">
      <c r="A35" s="132" t="str">
        <f t="shared" si="6"/>
        <v/>
      </c>
      <c r="B35" s="183" t="str">
        <f>IF(LEN(C35)&gt;0,VLOOKUP($O$4,DATA!$A$1:$S$1,2,FALSE),"")</f>
        <v/>
      </c>
      <c r="C35" s="184" t="str">
        <f t="shared" si="1"/>
        <v/>
      </c>
      <c r="D35" s="136" t="str">
        <f>IF(LEN(ASISTENCIA!E34)&gt;0,ASISTENCIA!E34,"")</f>
        <v/>
      </c>
      <c r="E35" s="167" t="str">
        <f>IF(LEN(D35)&gt;0,ASISTENCIA!F34,"")</f>
        <v/>
      </c>
      <c r="F35" s="180"/>
      <c r="G35" s="180"/>
      <c r="H35" s="180"/>
      <c r="I35" s="180"/>
      <c r="J35" s="180"/>
      <c r="K35" s="168" t="str">
        <f t="shared" si="2"/>
        <v/>
      </c>
      <c r="L35" s="185"/>
      <c r="M35" s="168"/>
      <c r="N35" s="168" t="str">
        <f t="shared" si="3"/>
        <v>#ERROR!</v>
      </c>
      <c r="O35" s="168" t="str">
        <f>IF(AND(LEN($D35)&gt;0,SUMIF($F$13:$J$13,O$13,$F35:$J35)&gt;0,ASISTENCIA!I34&lt;&gt;"X",ASISTENCIA!I34&lt;&gt;"L",ASISTENCIA!I34&lt;&gt;"J",ASISTENCIA!I34&lt;&gt;"V",ASISTENCIA!I34&lt;&gt;"F",ASISTENCIA!I34&lt;&gt;""),SUMIF($F$13:$J$13,O$13,$F35:$J35),"")</f>
        <v/>
      </c>
      <c r="P35" s="168" t="str">
        <f>IF(AND(LEN($D35)&gt;0,SUMIF($F$13:$J$13,P$13,$F35:$J35)&gt;0,ASISTENCIA!J34&lt;&gt;"X",ASISTENCIA!J34&lt;&gt;"L",ASISTENCIA!J34&lt;&gt;"J",ASISTENCIA!J34&lt;&gt;"V",ASISTENCIA!J34&lt;&gt;"F",ASISTENCIA!J34&lt;&gt;""),SUMIF($F$13:$J$13,P$13,$F35:$J35),"")</f>
        <v/>
      </c>
      <c r="Q35" s="168" t="str">
        <f>IF(AND(LEN($D35)&gt;0,SUMIF($F$13:$J$13,Q$13,$F35:$J35)&gt;0,ASISTENCIA!K34&lt;&gt;"X",ASISTENCIA!K34&lt;&gt;"L",ASISTENCIA!K34&lt;&gt;"J",ASISTENCIA!K34&lt;&gt;"V",ASISTENCIA!K34&lt;&gt;"F",ASISTENCIA!K34&lt;&gt;""),SUMIF($F$13:$J$13,Q$13,$F35:$J35),"")</f>
        <v/>
      </c>
      <c r="R35" s="168" t="str">
        <f>IF(AND(LEN($D35)&gt;0,SUMIF($F$13:$J$13,R$13,$F35:$J35)&gt;0,ASISTENCIA!L34&lt;&gt;"X",ASISTENCIA!L34&lt;&gt;"L",ASISTENCIA!L34&lt;&gt;"J",ASISTENCIA!L34&lt;&gt;"V",ASISTENCIA!L34&lt;&gt;"F",ASISTENCIA!L34&lt;&gt;""),SUMIF($F$13:$J$13,R$13,$F35:$J35),"")</f>
        <v/>
      </c>
      <c r="S35" s="168" t="str">
        <f>IF(AND(LEN($D35)&gt;0,SUMIF($F$13:$J$13,S$13,$F35:$J35)&gt;0,ASISTENCIA!M34&lt;&gt;"X",ASISTENCIA!M34&lt;&gt;"L",ASISTENCIA!M34&lt;&gt;"J",ASISTENCIA!M34&lt;&gt;"V",ASISTENCIA!M34&lt;&gt;"F",ASISTENCIA!M34&lt;&gt;""),SUMIF($F$13:$J$13,S$13,$F35:$J35),"")</f>
        <v/>
      </c>
      <c r="T35" s="168" t="str">
        <f>IF(AND(LEN($D35)&gt;0,SUMIF($F$13:$J$13,T$13,$F35:$J35)&gt;0,ASISTENCIA!N34&lt;&gt;"X",ASISTENCIA!N34&lt;&gt;"L",ASISTENCIA!N34&lt;&gt;"J",ASISTENCIA!N34&lt;&gt;"V",ASISTENCIA!N34&lt;&gt;"F",ASISTENCIA!N34&lt;&gt;""),SUMIF($F$13:$J$13,T$13,$F35:$J35),"")</f>
        <v/>
      </c>
      <c r="U35" s="168" t="str">
        <f>IF(AND(LEN($D35)&gt;0,SUMIF($F$13:$J$13,U$13,$F35:$J35)&gt;0,ASISTENCIA!O34&lt;&gt;"X",ASISTENCIA!O34&lt;&gt;"L",ASISTENCIA!O34&lt;&gt;"J",ASISTENCIA!O34&lt;&gt;"V",ASISTENCIA!O34&lt;&gt;"F",ASISTENCIA!O34&lt;&gt;""),SUMIF($F$13:$J$13,U$13,$F35:$J35),"")</f>
        <v/>
      </c>
      <c r="V35" s="168" t="str">
        <f>IF(AND(LEN($D35)&gt;0,SUMIF($F$13:$J$13,V$13,$F35:$J35)&gt;0,ASISTENCIA!P34&lt;&gt;"X",ASISTENCIA!P34&lt;&gt;"L",ASISTENCIA!P34&lt;&gt;"J",ASISTENCIA!P34&lt;&gt;"V",ASISTENCIA!P34&lt;&gt;"F",ASISTENCIA!P34&lt;&gt;""),SUMIF($F$13:$J$13,V$13,$F35:$J35),"")</f>
        <v/>
      </c>
      <c r="W35" s="168" t="str">
        <f>IF(AND(LEN($D35)&gt;0,SUMIF($F$13:$J$13,W$13,$F35:$J35)&gt;0,ASISTENCIA!Q34&lt;&gt;"X",ASISTENCIA!Q34&lt;&gt;"L",ASISTENCIA!Q34&lt;&gt;"J",ASISTENCIA!Q34&lt;&gt;"V",ASISTENCIA!Q34&lt;&gt;"F",ASISTENCIA!Q34&lt;&gt;""),SUMIF($F$13:$J$13,W$13,$F35:$J35),"")</f>
        <v/>
      </c>
      <c r="X35" s="168" t="str">
        <f>IF(AND(LEN($D35)&gt;0,SUMIF($F$13:$J$13,X$13,$F35:$J35)&gt;0,ASISTENCIA!R34&lt;&gt;"X",ASISTENCIA!R34&lt;&gt;"L",ASISTENCIA!R34&lt;&gt;"J",ASISTENCIA!R34&lt;&gt;"V",ASISTENCIA!R34&lt;&gt;"F",ASISTENCIA!R34&lt;&gt;""),SUMIF($F$13:$J$13,X$13,$F35:$J35),"")</f>
        <v/>
      </c>
      <c r="Y35" s="168" t="str">
        <f>IF(AND(LEN($D35)&gt;0,SUMIF($F$13:$J$13,Y$13,$F35:$J35)&gt;0,ASISTENCIA!S34&lt;&gt;"X",ASISTENCIA!S34&lt;&gt;"L",ASISTENCIA!S34&lt;&gt;"J",ASISTENCIA!S34&lt;&gt;"V",ASISTENCIA!S34&lt;&gt;"F",ASISTENCIA!S34&lt;&gt;""),SUMIF($F$13:$J$13,Y$13,$F35:$J35),"")</f>
        <v/>
      </c>
      <c r="Z35" s="168" t="str">
        <f>IF(AND(LEN($D35)&gt;0,SUMIF($F$13:$J$13,Z$13,$F35:$J35)&gt;0,ASISTENCIA!T34&lt;&gt;"X",ASISTENCIA!T34&lt;&gt;"L",ASISTENCIA!T34&lt;&gt;"J",ASISTENCIA!T34&lt;&gt;"V",ASISTENCIA!T34&lt;&gt;"F",ASISTENCIA!T34&lt;&gt;""),SUMIF($F$13:$J$13,Z$13,$F35:$J35),"")</f>
        <v/>
      </c>
      <c r="AA35" s="168" t="str">
        <f>IF(AND(LEN($D35)&gt;0,SUMIF($F$13:$J$13,AA$13,$F35:$J35)&gt;0,ASISTENCIA!U34&lt;&gt;"X",ASISTENCIA!U34&lt;&gt;"L",ASISTENCIA!U34&lt;&gt;"J",ASISTENCIA!U34&lt;&gt;"V",ASISTENCIA!U34&lt;&gt;"F",ASISTENCIA!U34&lt;&gt;""),SUMIF($F$13:$J$13,AA$13,$F35:$J35),"")</f>
        <v/>
      </c>
      <c r="AB35" s="168" t="str">
        <f>IF(AND(LEN($D35)&gt;0,SUMIF($F$13:$J$13,AB$13,$F35:$J35)&gt;0,ASISTENCIA!V34&lt;&gt;"X",ASISTENCIA!V34&lt;&gt;"L",ASISTENCIA!V34&lt;&gt;"J",ASISTENCIA!V34&lt;&gt;"V",ASISTENCIA!V34&lt;&gt;"F",ASISTENCIA!V34&lt;&gt;""),SUMIF($F$13:$J$13,AB$13,$F35:$J35),"")</f>
        <v/>
      </c>
      <c r="AC35" s="168" t="str">
        <f>IF(AND(LEN($D35)&gt;0,SUMIF($F$13:$J$13,AC$13,$F35:$J35)&gt;0,ASISTENCIA!W34&lt;&gt;"X",ASISTENCIA!W34&lt;&gt;"L",ASISTENCIA!W34&lt;&gt;"J",ASISTENCIA!W34&lt;&gt;"V",ASISTENCIA!W34&lt;&gt;"F",ASISTENCIA!W34&lt;&gt;""),SUMIF($F$13:$J$13,AC$13,$F35:$J35),"")</f>
        <v/>
      </c>
      <c r="AD35" s="168" t="str">
        <f>IF(AND(LEN($D35)&gt;0,SUMIF($F$13:$J$13,AD$13,$F35:$J35)&gt;0,ASISTENCIA!X34&lt;&gt;"X",ASISTENCIA!X34&lt;&gt;"L",ASISTENCIA!X34&lt;&gt;"J",ASISTENCIA!X34&lt;&gt;"V",ASISTENCIA!X34&lt;&gt;"F",ASISTENCIA!X34&lt;&gt;""),SUMIF($F$13:$J$13,AD$13,$F35:$J35),"")</f>
        <v/>
      </c>
      <c r="AE35" s="168" t="str">
        <f>IF(AND(LEN($D35)&gt;0,SUMIF($F$13:$J$13,AE$13,$F35:$J35)&gt;0,ASISTENCIA!Y34&lt;&gt;"X",ASISTENCIA!Y34&lt;&gt;"L",ASISTENCIA!Y34&lt;&gt;"J",ASISTENCIA!Y34&lt;&gt;"V",ASISTENCIA!Y34&lt;&gt;"F",ASISTENCIA!Y34&lt;&gt;""),SUMIF($F$13:$J$13,AE$13,$F35:$J35),"")</f>
        <v/>
      </c>
      <c r="AF35" s="168" t="str">
        <f>IF(AND(LEN($D35)&gt;0,SUMIF($F$13:$J$13,AF$13,$F35:$J35)&gt;0,ASISTENCIA!Z34&lt;&gt;"X",ASISTENCIA!Z34&lt;&gt;"L",ASISTENCIA!Z34&lt;&gt;"J",ASISTENCIA!Z34&lt;&gt;"V",ASISTENCIA!Z34&lt;&gt;"F",ASISTENCIA!Z34&lt;&gt;""),SUMIF($F$13:$J$13,AF$13,$F35:$J35),"")</f>
        <v/>
      </c>
      <c r="AG35" s="168" t="str">
        <f>IF(AND(LEN($D35)&gt;0,SUMIF($F$13:$J$13,AG$13,$F35:$J35)&gt;0,ASISTENCIA!AA34&lt;&gt;"X",ASISTENCIA!AA34&lt;&gt;"L",ASISTENCIA!AA34&lt;&gt;"J",ASISTENCIA!AA34&lt;&gt;"V",ASISTENCIA!AA34&lt;&gt;"F",ASISTENCIA!AA34&lt;&gt;""),SUMIF($F$13:$J$13,AG$13,$F35:$J35),"")</f>
        <v/>
      </c>
      <c r="AH35" s="168" t="str">
        <f>IF(AND(LEN($D35)&gt;0,SUMIF($F$13:$J$13,AH$13,$F35:$J35)&gt;0,ASISTENCIA!AB34&lt;&gt;"X",ASISTENCIA!AB34&lt;&gt;"L",ASISTENCIA!AB34&lt;&gt;"J",ASISTENCIA!AB34&lt;&gt;"V",ASISTENCIA!AB34&lt;&gt;"F",ASISTENCIA!AB34&lt;&gt;""),SUMIF($F$13:$J$13,AH$13,$F35:$J35),"")</f>
        <v/>
      </c>
      <c r="AI35" s="168" t="str">
        <f>IF(AND(LEN($D35)&gt;0,SUMIF($F$13:$J$13,AI$13,$F35:$J35)&gt;0,ASISTENCIA!AC34&lt;&gt;"X",ASISTENCIA!AC34&lt;&gt;"L",ASISTENCIA!AC34&lt;&gt;"J",ASISTENCIA!AC34&lt;&gt;"V",ASISTENCIA!AC34&lt;&gt;"F",ASISTENCIA!AC34&lt;&gt;""),SUMIF($F$13:$J$13,AI$13,$F35:$J35),"")</f>
        <v/>
      </c>
      <c r="AJ35" s="168" t="str">
        <f>IF(AND(LEN($D35)&gt;0,SUMIF($F$13:$J$13,AJ$13,$F35:$J35)&gt;0,ASISTENCIA!AD34&lt;&gt;"X",ASISTENCIA!AD34&lt;&gt;"L",ASISTENCIA!AD34&lt;&gt;"J",ASISTENCIA!AD34&lt;&gt;"V",ASISTENCIA!AD34&lt;&gt;"F",ASISTENCIA!AD34&lt;&gt;""),SUMIF($F$13:$J$13,AJ$13,$F35:$J35),"")</f>
        <v/>
      </c>
      <c r="AK35" s="168" t="str">
        <f>IF(AND(LEN($D35)&gt;0,SUMIF($F$13:$J$13,AK$13,$F35:$J35)&gt;0,ASISTENCIA!AE34&lt;&gt;"X",ASISTENCIA!AE34&lt;&gt;"L",ASISTENCIA!AE34&lt;&gt;"J",ASISTENCIA!AE34&lt;&gt;"V",ASISTENCIA!AE34&lt;&gt;"F",ASISTENCIA!AE34&lt;&gt;""),SUMIF($F$13:$J$13,AK$13,$F35:$J35),"")</f>
        <v/>
      </c>
      <c r="AL35" s="168" t="str">
        <f>IF(AND(LEN($D35)&gt;0,SUMIF($F$13:$J$13,AL$13,$F35:$J35)&gt;0,ASISTENCIA!AF34&lt;&gt;"X",ASISTENCIA!AF34&lt;&gt;"L",ASISTENCIA!AF34&lt;&gt;"J",ASISTENCIA!AF34&lt;&gt;"V",ASISTENCIA!AF34&lt;&gt;"F",ASISTENCIA!AF34&lt;&gt;""),SUMIF($F$13:$J$13,AL$13,$F35:$J35),"")</f>
        <v/>
      </c>
      <c r="AM35" s="168" t="str">
        <f>IF(AND(LEN($D35)&gt;0,SUMIF($F$13:$J$13,AM$13,$F35:$J35)&gt;0,ASISTENCIA!AG34&lt;&gt;"X",ASISTENCIA!AG34&lt;&gt;"L",ASISTENCIA!AG34&lt;&gt;"J",ASISTENCIA!AG34&lt;&gt;"V",ASISTENCIA!AG34&lt;&gt;"F",ASISTENCIA!AG34&lt;&gt;""),SUMIF($F$13:$J$13,AM$13,$F35:$J35),"")</f>
        <v/>
      </c>
      <c r="AN35" s="168" t="str">
        <f>IF(AND(LEN($D35)&gt;0,SUMIF($F$13:$J$13,AN$13,$F35:$J35)&gt;0,ASISTENCIA!AH34&lt;&gt;"X",ASISTENCIA!AH34&lt;&gt;"L",ASISTENCIA!AH34&lt;&gt;"J",ASISTENCIA!AH34&lt;&gt;"V",ASISTENCIA!AH34&lt;&gt;"F",ASISTENCIA!AH34&lt;&gt;""),SUMIF($F$13:$J$13,AN$13,$F35:$J35),"")</f>
        <v/>
      </c>
      <c r="AO35" s="168" t="str">
        <f>IF(AND(LEN($D35)&gt;0,SUMIF($F$13:$J$13,AO$13,$F35:$J35)&gt;0,ASISTENCIA!AI34&lt;&gt;"X",ASISTENCIA!AI34&lt;&gt;"L",ASISTENCIA!AI34&lt;&gt;"J",ASISTENCIA!AI34&lt;&gt;"V",ASISTENCIA!AI34&lt;&gt;"F",ASISTENCIA!AI34&lt;&gt;""),SUMIF($F$13:$J$13,AO$13,$F35:$J35),"")</f>
        <v/>
      </c>
      <c r="AP35" s="168" t="str">
        <f>IF(AND(LEN($D35)&gt;0,SUMIF($F$13:$J$13,AP$13,$F35:$J35)&gt;0,ASISTENCIA!AJ34&lt;&gt;"X",ASISTENCIA!AJ34&lt;&gt;"L",ASISTENCIA!AJ34&lt;&gt;"J",ASISTENCIA!AJ34&lt;&gt;"V",ASISTENCIA!AJ34&lt;&gt;"F",ASISTENCIA!AJ34&lt;&gt;""),SUMIF($F$13:$J$13,AP$13,$F35:$J35),"")</f>
        <v/>
      </c>
      <c r="AQ35" s="168" t="str">
        <f>IF(AND(LEN($D35)&gt;0,SUMIF($F$13:$J$13,AQ$13,$F35:$J35)&gt;0,ASISTENCIA!AK34&lt;&gt;"X",ASISTENCIA!AK34&lt;&gt;"L",ASISTENCIA!AK34&lt;&gt;"J",ASISTENCIA!AK34&lt;&gt;"V",ASISTENCIA!AK34&lt;&gt;"F",ASISTENCIA!AK34&lt;&gt;""),SUMIF($F$13:$J$13,AQ$13,$F35:$J35),"")</f>
        <v/>
      </c>
      <c r="AR35" s="168" t="str">
        <f>IF(AND(LEN($D35)&gt;0,SUMIF($F$13:$J$13,AR$13,$F35:$J35)&gt;0,ASISTENCIA!AL34&lt;&gt;"X",ASISTENCIA!AL34&lt;&gt;"L",ASISTENCIA!AL34&lt;&gt;"J",ASISTENCIA!AL34&lt;&gt;"V",ASISTENCIA!AL34&lt;&gt;"F",ASISTENCIA!AL34&lt;&gt;""),SUMIF($F$13:$J$13,AR$13,$F35:$J35),"")</f>
        <v/>
      </c>
      <c r="AS35" s="168" t="str">
        <f>IF(AND(LEN($D35)&gt;0,SUMIF($F$13:$J$13,AS$13,$F35:$J35)&gt;0,ASISTENCIA!AM34&lt;&gt;"X",ASISTENCIA!AM34&lt;&gt;"L",ASISTENCIA!AM34&lt;&gt;"J",ASISTENCIA!AM34&lt;&gt;"V",ASISTENCIA!AM34&lt;&gt;"F",ASISTENCIA!AM34&lt;&gt;""),SUMIF($F$13:$J$13,AS$13,$F35:$J35),"")</f>
        <v/>
      </c>
      <c r="AT35" s="182" t="str">
        <f t="shared" si="4"/>
        <v/>
      </c>
      <c r="AU35" s="10"/>
      <c r="AV35" s="10"/>
      <c r="AW35" s="10"/>
      <c r="AX35" s="168" t="str">
        <f>IF(AND(LEN($D35)&gt;0,SUMIF($F$13:$J$13,AX$13,$F35:$J35)&gt;0,ASISTENCIA!AU34&lt;&gt;"X",ASISTENCIA!AU34&lt;&gt;"L",ASISTENCIA!AU34&lt;&gt;"J",ASISTENCIA!AU34&lt;&gt;"F"),SUMIF($F$13:$J$13,AX$13,$F35:$J35),"")</f>
        <v/>
      </c>
      <c r="AY35" s="168" t="str">
        <f>IF(AND(LEN($D35)&gt;0,SUMIF($F$13:$J$13,AY$13,$F35:$J35)&gt;0,ASISTENCIA!AV34&lt;&gt;"X",ASISTENCIA!AV34&lt;&gt;"L",ASISTENCIA!AV34&lt;&gt;"J",ASISTENCIA!AV34&lt;&gt;"F"),SUMIF($F$13:$J$13,AY$13,$F35:$J35),"")</f>
        <v/>
      </c>
      <c r="AZ35" s="168" t="str">
        <f>IF(AND(LEN($D35)&gt;0,SUMIF($F$13:$J$13,AZ$13,$F35:$J35)&gt;0,ASISTENCIA!AW34&lt;&gt;"X",ASISTENCIA!AW34&lt;&gt;"L",ASISTENCIA!AW34&lt;&gt;"J",ASISTENCIA!AW34&lt;&gt;"F"),SUMIF($F$13:$J$13,AZ$13,$F35:$J35),"")</f>
        <v/>
      </c>
      <c r="BA35" s="168" t="str">
        <f>IF(AND(LEN($D35)&gt;0,SUMIF($F$13:$J$13,BA$13,$F35:$J35)&gt;0,ASISTENCIA!AX34&lt;&gt;"X",ASISTENCIA!AX34&lt;&gt;"L",ASISTENCIA!AX34&lt;&gt;"J",ASISTENCIA!AX34&lt;&gt;"F"),SUMIF($F$13:$J$13,BA$13,$F35:$J35),"")</f>
        <v/>
      </c>
      <c r="BB35" s="168" t="str">
        <f>IF(AND(LEN($D35)&gt;0,SUMIF($F$13:$J$13,BB$13,$F35:$J35)&gt;0,ASISTENCIA!AY34&lt;&gt;"X",ASISTENCIA!AY34&lt;&gt;"L",ASISTENCIA!AY34&lt;&gt;"J",ASISTENCIA!AY34&lt;&gt;"F"),SUMIF($F$13:$J$13,BB$13,$F35:$J35),"")</f>
        <v/>
      </c>
      <c r="BC35" s="168" t="str">
        <f>IF(AND(LEN($D35)&gt;0,SUMIF($F$13:$J$13,BC$13,$F35:$J35)&gt;0,ASISTENCIA!AZ34&lt;&gt;"X",ASISTENCIA!AZ34&lt;&gt;"L",ASISTENCIA!AZ34&lt;&gt;"J",ASISTENCIA!AZ34&lt;&gt;"F"),SUMIF($F$13:$J$13,BC$13,$F35:$J35),"")</f>
        <v/>
      </c>
      <c r="BD35" s="168" t="str">
        <f>IF(AND(LEN($D35)&gt;0,SUMIF($F$13:$J$13,BD$13,$F35:$J35)&gt;0,ASISTENCIA!BA34&lt;&gt;"X",ASISTENCIA!BA34&lt;&gt;"L",ASISTENCIA!BA34&lt;&gt;"J",ASISTENCIA!BA34&lt;&gt;"F"),SUMIF($F$13:$J$13,BD$13,$F35:$J35),"")</f>
        <v/>
      </c>
      <c r="BE35" s="168" t="str">
        <f>IF(AND(LEN($D35)&gt;0,SUMIF($F$13:$J$13,BE$13,$F35:$J35)&gt;0,ASISTENCIA!BB34&lt;&gt;"X",ASISTENCIA!BB34&lt;&gt;"L",ASISTENCIA!BB34&lt;&gt;"J",ASISTENCIA!BB34&lt;&gt;"F"),SUMIF($F$13:$J$13,BE$13,$F35:$J35),"")</f>
        <v/>
      </c>
      <c r="BF35" s="168" t="str">
        <f>IF(AND(LEN($D35)&gt;0,SUMIF($F$13:$J$13,BF$13,$F35:$J35)&gt;0,ASISTENCIA!#REF!&lt;&gt;"X",ASISTENCIA!#REF!&lt;&gt;"L",ASISTENCIA!#REF!&lt;&gt;"J",ASISTENCIA!#REF!&lt;&gt;"F"),SUMIF($F$13:$J$13,BF$13,$F35:$J35),"")</f>
        <v>#ERROR!</v>
      </c>
      <c r="BG35" s="168" t="str">
        <f>IF(AND(LEN($D35)&gt;0,SUMIF($F$13:$J$13,BG$13,$F35:$J35)&gt;0,ASISTENCIA!#REF!&lt;&gt;"X",ASISTENCIA!#REF!&lt;&gt;"L",ASISTENCIA!#REF!&lt;&gt;"J",ASISTENCIA!#REF!&lt;&gt;"F"),SUMIF($F$13:$J$13,BG$13,$F35:$J35),"")</f>
        <v>#ERROR!</v>
      </c>
      <c r="BH35" s="168" t="str">
        <f>IF(AND(LEN($D35)&gt;0,SUMIF($F$13:$J$13,BH$13,$F35:$J35)&gt;0,ASISTENCIA!BE34&lt;&gt;"X",ASISTENCIA!BE34&lt;&gt;"L",ASISTENCIA!BE34&lt;&gt;"J",ASISTENCIA!BE34&lt;&gt;"F"),SUMIF($F$13:$J$13,BH$13,$F35:$J35),"")</f>
        <v/>
      </c>
      <c r="BI35" s="168" t="str">
        <f>IF(AND(LEN($D35)&gt;0,SUMIF($F$13:$J$13,BI$13,$F35:$J35)&gt;0,ASISTENCIA!BF34&lt;&gt;"X",ASISTENCIA!BF34&lt;&gt;"L",ASISTENCIA!BF34&lt;&gt;"J",ASISTENCIA!BF34&lt;&gt;"F"),SUMIF($F$13:$J$13,BI$13,$F35:$J35),"")</f>
        <v/>
      </c>
      <c r="BJ35" s="168" t="str">
        <f>IF(AND(LEN($D35)&gt;0,SUMIF($F$13:$J$13,BJ$13,$F35:$J35)&gt;0,ASISTENCIA!BG34&lt;&gt;"X",ASISTENCIA!BG34&lt;&gt;"L",ASISTENCIA!BG34&lt;&gt;"J",ASISTENCIA!BG34&lt;&gt;"F"),SUMIF($F$13:$J$13,BJ$13,$F35:$J35),"")</f>
        <v/>
      </c>
      <c r="BK35" s="168" t="str">
        <f>IF(AND(LEN($D35)&gt;0,SUMIF($F$13:$J$13,BK$13,$F35:$J35)&gt;0,ASISTENCIA!BH34&lt;&gt;"X",ASISTENCIA!BH34&lt;&gt;"L",ASISTENCIA!BH34&lt;&gt;"J",ASISTENCIA!BH34&lt;&gt;"F"),SUMIF($F$13:$J$13,BK$13,$F35:$J35),"")</f>
        <v/>
      </c>
      <c r="BL35" s="168" t="str">
        <f>IF(AND(LEN($D35)&gt;0,SUMIF($F$13:$J$13,BL$13,$F35:$J35)&gt;0,ASISTENCIA!BI34&lt;&gt;"X",ASISTENCIA!BI34&lt;&gt;"L",ASISTENCIA!BI34&lt;&gt;"J",ASISTENCIA!BI34&lt;&gt;"F"),SUMIF($F$13:$J$13,BL$13,$F35:$J35),"")</f>
        <v/>
      </c>
      <c r="BM35" s="168" t="str">
        <f>IF(AND(LEN($D35)&gt;0,SUMIF($F$13:$J$13,BM$13,$F35:$J35)&gt;0,ASISTENCIA!BJ34&lt;&gt;"X",ASISTENCIA!BJ34&lt;&gt;"L",ASISTENCIA!BJ34&lt;&gt;"J",ASISTENCIA!BJ34&lt;&gt;"F"),SUMIF($F$13:$J$13,BM$13,$F35:$J35),"")</f>
        <v/>
      </c>
      <c r="BN35" s="168" t="str">
        <f>IF(AND(LEN($D35)&gt;0,SUMIF($F$13:$J$13,BN$13,$F35:$J35)&gt;0,ASISTENCIA!BK34&lt;&gt;"X",ASISTENCIA!BK34&lt;&gt;"L",ASISTENCIA!BK34&lt;&gt;"J",ASISTENCIA!BK34&lt;&gt;"F"),SUMIF($F$13:$J$13,BN$13,$F35:$J35),"")</f>
        <v/>
      </c>
      <c r="BO35" s="168" t="str">
        <f>IF(AND(LEN($D35)&gt;0,SUMIF($F$13:$J$13,BO$13,$F35:$J35)&gt;0,ASISTENCIA!BL34&lt;&gt;"X",ASISTENCIA!BL34&lt;&gt;"L",ASISTENCIA!BL34&lt;&gt;"J",ASISTENCIA!BL34&lt;&gt;"F"),SUMIF($F$13:$J$13,BO$13,$F35:$J35),"")</f>
        <v/>
      </c>
      <c r="BP35" s="168" t="str">
        <f>IF(AND(LEN($D35)&gt;0,SUMIF($F$13:$J$13,BP$13,$F35:$J35)&gt;0,ASISTENCIA!BM34&lt;&gt;"X",ASISTENCIA!BM34&lt;&gt;"L",ASISTENCIA!BM34&lt;&gt;"J",ASISTENCIA!BM34&lt;&gt;"F"),SUMIF($F$13:$J$13,BP$13,$F35:$J35),"")</f>
        <v/>
      </c>
      <c r="BQ35" s="168" t="str">
        <f>IF(AND(LEN($D35)&gt;0,SUMIF($F$13:$J$13,BQ$13,$F35:$J35)&gt;0,ASISTENCIA!BN34&lt;&gt;"X",ASISTENCIA!BN34&lt;&gt;"L",ASISTENCIA!BN34&lt;&gt;"J",ASISTENCIA!BN34&lt;&gt;"F"),SUMIF($F$13:$J$13,BQ$13,$F35:$J35),"")</f>
        <v/>
      </c>
      <c r="BR35" s="168" t="str">
        <f>IF(AND(LEN($D35)&gt;0,SUMIF($F$13:$J$13,BR$13,$F35:$J35)&gt;0,ASISTENCIA!BO34&lt;&gt;"X",ASISTENCIA!BO34&lt;&gt;"L",ASISTENCIA!BO34&lt;&gt;"J",ASISTENCIA!BO34&lt;&gt;"F"),SUMIF($F$13:$J$13,BR$13,$F35:$J35),"")</f>
        <v/>
      </c>
      <c r="BS35" s="168" t="str">
        <f>IF(AND(LEN($D35)&gt;0,SUMIF($F$13:$J$13,BS$13,$F35:$J35)&gt;0,ASISTENCIA!BP34&lt;&gt;"X",ASISTENCIA!BP34&lt;&gt;"L",ASISTENCIA!BP34&lt;&gt;"J",ASISTENCIA!BP34&lt;&gt;"F"),SUMIF($F$13:$J$13,BS$13,$F35:$J35),"")</f>
        <v/>
      </c>
      <c r="BT35" s="168" t="str">
        <f>IF(AND(LEN($D35)&gt;0,SUMIF($F$13:$J$13,BT$13,$F35:$J35)&gt;0,ASISTENCIA!BQ34&lt;&gt;"X",ASISTENCIA!BQ34&lt;&gt;"L",ASISTENCIA!BQ34&lt;&gt;"J",ASISTENCIA!BQ34&lt;&gt;"F"),SUMIF($F$13:$J$13,BT$13,$F35:$J35),"")</f>
        <v/>
      </c>
      <c r="BU35" s="168" t="str">
        <f>IF(AND(LEN($D35)&gt;0,SUMIF($F$13:$J$13,BU$13,$F35:$J35)&gt;0,ASISTENCIA!BR34&lt;&gt;"X",ASISTENCIA!BR34&lt;&gt;"L",ASISTENCIA!BR34&lt;&gt;"J",ASISTENCIA!BR34&lt;&gt;"F"),SUMIF($F$13:$J$13,BU$13,$F35:$J35),"")</f>
        <v/>
      </c>
      <c r="BV35" s="168" t="str">
        <f>IF(AND(LEN($D35)&gt;0,SUMIF($F$13:$J$13,BV$13,$F35:$J35)&gt;0,ASISTENCIA!BS34&lt;&gt;"X",ASISTENCIA!BS34&lt;&gt;"L",ASISTENCIA!BS34&lt;&gt;"J",ASISTENCIA!BS34&lt;&gt;"F"),SUMIF($F$13:$J$13,BV$13,$F35:$J35),"")</f>
        <v/>
      </c>
      <c r="BW35" s="168" t="str">
        <f>IF(AND(LEN($D35)&gt;0,SUMIF($F$13:$J$13,BW$13,$F35:$J35)&gt;0,ASISTENCIA!BT34&lt;&gt;"X",ASISTENCIA!BT34&lt;&gt;"L",ASISTENCIA!BT34&lt;&gt;"J",ASISTENCIA!BT34&lt;&gt;"F"),SUMIF($F$13:$J$13,BW$13,$F35:$J35),"")</f>
        <v/>
      </c>
      <c r="BX35" s="168" t="str">
        <f>IF(AND(LEN($D35)&gt;0,SUMIF($F$13:$J$13,BX$13,$F35:$J35)&gt;0,ASISTENCIA!BU34&lt;&gt;"X",ASISTENCIA!BU34&lt;&gt;"L",ASISTENCIA!BU34&lt;&gt;"J",ASISTENCIA!BU34&lt;&gt;"F"),SUMIF($F$13:$J$13,BX$13,$F35:$J35),"")</f>
        <v/>
      </c>
      <c r="BY35" s="168" t="str">
        <f>IF(AND(LEN($D35)&gt;0,SUMIF($F$13:$J$13,BY$13,$F35:$J35)&gt;0,ASISTENCIA!BV34&lt;&gt;"X",ASISTENCIA!BV34&lt;&gt;"L",ASISTENCIA!BV34&lt;&gt;"J",ASISTENCIA!BV34&lt;&gt;"F"),SUMIF($F$13:$J$13,BY$13,$F35:$J35),"")</f>
        <v/>
      </c>
      <c r="BZ35" s="168" t="str">
        <f>IF(AND(LEN($D35)&gt;0,SUMIF($F$13:$J$13,BZ$13,$F35:$J35)&gt;0,ASISTENCIA!BW34&lt;&gt;"X",ASISTENCIA!BW34&lt;&gt;"L",ASISTENCIA!BW34&lt;&gt;"J",ASISTENCIA!BW34&lt;&gt;"F"),SUMIF($F$13:$J$13,BZ$13,$F35:$J35),"")</f>
        <v/>
      </c>
      <c r="CA35" s="168" t="str">
        <f>IF(AND(LEN($D35)&gt;0,SUMIF($F$13:$J$13,CA$13,$F35:$J35)&gt;0,ASISTENCIA!BX34&lt;&gt;"X",ASISTENCIA!BX34&lt;&gt;"L",ASISTENCIA!BX34&lt;&gt;"J",ASISTENCIA!BX34&lt;&gt;"F"),SUMIF($F$13:$J$13,CA$13,$F35:$J35),"")</f>
        <v/>
      </c>
      <c r="CB35" s="168" t="str">
        <f>IF(AND(LEN($D35)&gt;0,SUMIF($F$13:$J$13,CB$13,$F35:$J35)&gt;0,ASISTENCIA!BY34&lt;&gt;"X",ASISTENCIA!BY34&lt;&gt;"L",ASISTENCIA!BY34&lt;&gt;"J",ASISTENCIA!BY34&lt;&gt;"F"),SUMIF($F$13:$J$13,CB$13,$F35:$J35),"")</f>
        <v/>
      </c>
      <c r="CC35" s="182" t="str">
        <f t="shared" si="5"/>
        <v>#ERROR!</v>
      </c>
      <c r="CD35" s="10"/>
    </row>
    <row r="36" ht="12.75" customHeight="1">
      <c r="A36" s="132" t="str">
        <f t="shared" si="6"/>
        <v/>
      </c>
      <c r="B36" s="183" t="str">
        <f>IF(LEN(C36)&gt;0,VLOOKUP($O$4,DATA!$A$1:$S$1,2,FALSE),"")</f>
        <v/>
      </c>
      <c r="C36" s="184" t="str">
        <f t="shared" si="1"/>
        <v/>
      </c>
      <c r="D36" s="136" t="str">
        <f>IF(LEN(ASISTENCIA!E35)&gt;0,ASISTENCIA!E35,"")</f>
        <v/>
      </c>
      <c r="E36" s="167" t="str">
        <f>IF(LEN(D36)&gt;0,ASISTENCIA!F35,"")</f>
        <v/>
      </c>
      <c r="F36" s="144"/>
      <c r="G36" s="144"/>
      <c r="H36" s="144"/>
      <c r="I36" s="144"/>
      <c r="J36" s="144"/>
      <c r="K36" s="168" t="str">
        <f t="shared" si="2"/>
        <v/>
      </c>
      <c r="L36" s="185"/>
      <c r="M36" s="168"/>
      <c r="N36" s="168" t="str">
        <f t="shared" si="3"/>
        <v>#ERROR!</v>
      </c>
      <c r="O36" s="168" t="str">
        <f>IF(AND(LEN($D36)&gt;0,SUMIF($F$13:$J$13,O$13,$F36:$J36)&gt;0,ASISTENCIA!I35&lt;&gt;"X",ASISTENCIA!I35&lt;&gt;"L",ASISTENCIA!I35&lt;&gt;"J",ASISTENCIA!I35&lt;&gt;"V",ASISTENCIA!I35&lt;&gt;"F",ASISTENCIA!I35&lt;&gt;""),SUMIF($F$13:$J$13,O$13,$F36:$J36),"")</f>
        <v/>
      </c>
      <c r="P36" s="168" t="str">
        <f>IF(AND(LEN($D36)&gt;0,SUMIF($F$13:$J$13,P$13,$F36:$J36)&gt;0,ASISTENCIA!J35&lt;&gt;"X",ASISTENCIA!J35&lt;&gt;"L",ASISTENCIA!J35&lt;&gt;"J",ASISTENCIA!J35&lt;&gt;"V",ASISTENCIA!J35&lt;&gt;"F",ASISTENCIA!J35&lt;&gt;""),SUMIF($F$13:$J$13,P$13,$F36:$J36),"")</f>
        <v/>
      </c>
      <c r="Q36" s="168" t="str">
        <f>IF(AND(LEN($D36)&gt;0,SUMIF($F$13:$J$13,Q$13,$F36:$J36)&gt;0,ASISTENCIA!K35&lt;&gt;"X",ASISTENCIA!K35&lt;&gt;"L",ASISTENCIA!K35&lt;&gt;"J",ASISTENCIA!K35&lt;&gt;"V",ASISTENCIA!K35&lt;&gt;"F",ASISTENCIA!K35&lt;&gt;""),SUMIF($F$13:$J$13,Q$13,$F36:$J36),"")</f>
        <v/>
      </c>
      <c r="R36" s="168" t="str">
        <f>IF(AND(LEN($D36)&gt;0,SUMIF($F$13:$J$13,R$13,$F36:$J36)&gt;0,ASISTENCIA!L35&lt;&gt;"X",ASISTENCIA!L35&lt;&gt;"L",ASISTENCIA!L35&lt;&gt;"J",ASISTENCIA!L35&lt;&gt;"V",ASISTENCIA!L35&lt;&gt;"F",ASISTENCIA!L35&lt;&gt;""),SUMIF($F$13:$J$13,R$13,$F36:$J36),"")</f>
        <v/>
      </c>
      <c r="S36" s="168" t="str">
        <f>IF(AND(LEN($D36)&gt;0,SUMIF($F$13:$J$13,S$13,$F36:$J36)&gt;0,ASISTENCIA!M35&lt;&gt;"X",ASISTENCIA!M35&lt;&gt;"L",ASISTENCIA!M35&lt;&gt;"J",ASISTENCIA!M35&lt;&gt;"V",ASISTENCIA!M35&lt;&gt;"F",ASISTENCIA!M35&lt;&gt;""),SUMIF($F$13:$J$13,S$13,$F36:$J36),"")</f>
        <v/>
      </c>
      <c r="T36" s="168" t="str">
        <f>IF(AND(LEN($D36)&gt;0,SUMIF($F$13:$J$13,T$13,$F36:$J36)&gt;0,ASISTENCIA!N35&lt;&gt;"X",ASISTENCIA!N35&lt;&gt;"L",ASISTENCIA!N35&lt;&gt;"J",ASISTENCIA!N35&lt;&gt;"V",ASISTENCIA!N35&lt;&gt;"F",ASISTENCIA!N35&lt;&gt;""),SUMIF($F$13:$J$13,T$13,$F36:$J36),"")</f>
        <v/>
      </c>
      <c r="U36" s="168" t="str">
        <f>IF(AND(LEN($D36)&gt;0,SUMIF($F$13:$J$13,U$13,$F36:$J36)&gt;0,ASISTENCIA!O35&lt;&gt;"X",ASISTENCIA!O35&lt;&gt;"L",ASISTENCIA!O35&lt;&gt;"J",ASISTENCIA!O35&lt;&gt;"V",ASISTENCIA!O35&lt;&gt;"F",ASISTENCIA!O35&lt;&gt;""),SUMIF($F$13:$J$13,U$13,$F36:$J36),"")</f>
        <v/>
      </c>
      <c r="V36" s="168" t="str">
        <f>IF(AND(LEN($D36)&gt;0,SUMIF($F$13:$J$13,V$13,$F36:$J36)&gt;0,ASISTENCIA!P35&lt;&gt;"X",ASISTENCIA!P35&lt;&gt;"L",ASISTENCIA!P35&lt;&gt;"J",ASISTENCIA!P35&lt;&gt;"V",ASISTENCIA!P35&lt;&gt;"F",ASISTENCIA!P35&lt;&gt;""),SUMIF($F$13:$J$13,V$13,$F36:$J36),"")</f>
        <v/>
      </c>
      <c r="W36" s="168" t="str">
        <f>IF(AND(LEN($D36)&gt;0,SUMIF($F$13:$J$13,W$13,$F36:$J36)&gt;0,ASISTENCIA!Q35&lt;&gt;"X",ASISTENCIA!Q35&lt;&gt;"L",ASISTENCIA!Q35&lt;&gt;"J",ASISTENCIA!Q35&lt;&gt;"V",ASISTENCIA!Q35&lt;&gt;"F",ASISTENCIA!Q35&lt;&gt;""),SUMIF($F$13:$J$13,W$13,$F36:$J36),"")</f>
        <v/>
      </c>
      <c r="X36" s="168" t="str">
        <f>IF(AND(LEN($D36)&gt;0,SUMIF($F$13:$J$13,X$13,$F36:$J36)&gt;0,ASISTENCIA!R35&lt;&gt;"X",ASISTENCIA!R35&lt;&gt;"L",ASISTENCIA!R35&lt;&gt;"J",ASISTENCIA!R35&lt;&gt;"V",ASISTENCIA!R35&lt;&gt;"F",ASISTENCIA!R35&lt;&gt;""),SUMIF($F$13:$J$13,X$13,$F36:$J36),"")</f>
        <v/>
      </c>
      <c r="Y36" s="168" t="str">
        <f>IF(AND(LEN($D36)&gt;0,SUMIF($F$13:$J$13,Y$13,$F36:$J36)&gt;0,ASISTENCIA!S35&lt;&gt;"X",ASISTENCIA!S35&lt;&gt;"L",ASISTENCIA!S35&lt;&gt;"J",ASISTENCIA!S35&lt;&gt;"V",ASISTENCIA!S35&lt;&gt;"F",ASISTENCIA!S35&lt;&gt;""),SUMIF($F$13:$J$13,Y$13,$F36:$J36),"")</f>
        <v/>
      </c>
      <c r="Z36" s="168" t="str">
        <f>IF(AND(LEN($D36)&gt;0,SUMIF($F$13:$J$13,Z$13,$F36:$J36)&gt;0,ASISTENCIA!T35&lt;&gt;"X",ASISTENCIA!T35&lt;&gt;"L",ASISTENCIA!T35&lt;&gt;"J",ASISTENCIA!T35&lt;&gt;"V",ASISTENCIA!T35&lt;&gt;"F",ASISTENCIA!T35&lt;&gt;""),SUMIF($F$13:$J$13,Z$13,$F36:$J36),"")</f>
        <v/>
      </c>
      <c r="AA36" s="168" t="str">
        <f>IF(AND(LEN($D36)&gt;0,SUMIF($F$13:$J$13,AA$13,$F36:$J36)&gt;0,ASISTENCIA!U35&lt;&gt;"X",ASISTENCIA!U35&lt;&gt;"L",ASISTENCIA!U35&lt;&gt;"J",ASISTENCIA!U35&lt;&gt;"V",ASISTENCIA!U35&lt;&gt;"F",ASISTENCIA!U35&lt;&gt;""),SUMIF($F$13:$J$13,AA$13,$F36:$J36),"")</f>
        <v/>
      </c>
      <c r="AB36" s="168" t="str">
        <f>IF(AND(LEN($D36)&gt;0,SUMIF($F$13:$J$13,AB$13,$F36:$J36)&gt;0,ASISTENCIA!V35&lt;&gt;"X",ASISTENCIA!V35&lt;&gt;"L",ASISTENCIA!V35&lt;&gt;"J",ASISTENCIA!V35&lt;&gt;"V",ASISTENCIA!V35&lt;&gt;"F",ASISTENCIA!V35&lt;&gt;""),SUMIF($F$13:$J$13,AB$13,$F36:$J36),"")</f>
        <v/>
      </c>
      <c r="AC36" s="168" t="str">
        <f>IF(AND(LEN($D36)&gt;0,SUMIF($F$13:$J$13,AC$13,$F36:$J36)&gt;0,ASISTENCIA!W35&lt;&gt;"X",ASISTENCIA!W35&lt;&gt;"L",ASISTENCIA!W35&lt;&gt;"J",ASISTENCIA!W35&lt;&gt;"V",ASISTENCIA!W35&lt;&gt;"F",ASISTENCIA!W35&lt;&gt;""),SUMIF($F$13:$J$13,AC$13,$F36:$J36),"")</f>
        <v/>
      </c>
      <c r="AD36" s="168" t="str">
        <f>IF(AND(LEN($D36)&gt;0,SUMIF($F$13:$J$13,AD$13,$F36:$J36)&gt;0,ASISTENCIA!X35&lt;&gt;"X",ASISTENCIA!X35&lt;&gt;"L",ASISTENCIA!X35&lt;&gt;"J",ASISTENCIA!X35&lt;&gt;"V",ASISTENCIA!X35&lt;&gt;"F",ASISTENCIA!X35&lt;&gt;""),SUMIF($F$13:$J$13,AD$13,$F36:$J36),"")</f>
        <v/>
      </c>
      <c r="AE36" s="168" t="str">
        <f>IF(AND(LEN($D36)&gt;0,SUMIF($F$13:$J$13,AE$13,$F36:$J36)&gt;0,ASISTENCIA!Y35&lt;&gt;"X",ASISTENCIA!Y35&lt;&gt;"L",ASISTENCIA!Y35&lt;&gt;"J",ASISTENCIA!Y35&lt;&gt;"V",ASISTENCIA!Y35&lt;&gt;"F",ASISTENCIA!Y35&lt;&gt;""),SUMIF($F$13:$J$13,AE$13,$F36:$J36),"")</f>
        <v/>
      </c>
      <c r="AF36" s="168" t="str">
        <f>IF(AND(LEN($D36)&gt;0,SUMIF($F$13:$J$13,AF$13,$F36:$J36)&gt;0,ASISTENCIA!Z35&lt;&gt;"X",ASISTENCIA!Z35&lt;&gt;"L",ASISTENCIA!Z35&lt;&gt;"J",ASISTENCIA!Z35&lt;&gt;"V",ASISTENCIA!Z35&lt;&gt;"F",ASISTENCIA!Z35&lt;&gt;""),SUMIF($F$13:$J$13,AF$13,$F36:$J36),"")</f>
        <v/>
      </c>
      <c r="AG36" s="168" t="str">
        <f>IF(AND(LEN($D36)&gt;0,SUMIF($F$13:$J$13,AG$13,$F36:$J36)&gt;0,ASISTENCIA!AA35&lt;&gt;"X",ASISTENCIA!AA35&lt;&gt;"L",ASISTENCIA!AA35&lt;&gt;"J",ASISTENCIA!AA35&lt;&gt;"V",ASISTENCIA!AA35&lt;&gt;"F",ASISTENCIA!AA35&lt;&gt;""),SUMIF($F$13:$J$13,AG$13,$F36:$J36),"")</f>
        <v/>
      </c>
      <c r="AH36" s="168" t="str">
        <f>IF(AND(LEN($D36)&gt;0,SUMIF($F$13:$J$13,AH$13,$F36:$J36)&gt;0,ASISTENCIA!AB35&lt;&gt;"X",ASISTENCIA!AB35&lt;&gt;"L",ASISTENCIA!AB35&lt;&gt;"J",ASISTENCIA!AB35&lt;&gt;"V",ASISTENCIA!AB35&lt;&gt;"F",ASISTENCIA!AB35&lt;&gt;""),SUMIF($F$13:$J$13,AH$13,$F36:$J36),"")</f>
        <v/>
      </c>
      <c r="AI36" s="168" t="str">
        <f>IF(AND(LEN($D36)&gt;0,SUMIF($F$13:$J$13,AI$13,$F36:$J36)&gt;0,ASISTENCIA!AC35&lt;&gt;"X",ASISTENCIA!AC35&lt;&gt;"L",ASISTENCIA!AC35&lt;&gt;"J",ASISTENCIA!AC35&lt;&gt;"V",ASISTENCIA!AC35&lt;&gt;"F",ASISTENCIA!AC35&lt;&gt;""),SUMIF($F$13:$J$13,AI$13,$F36:$J36),"")</f>
        <v/>
      </c>
      <c r="AJ36" s="168" t="str">
        <f>IF(AND(LEN($D36)&gt;0,SUMIF($F$13:$J$13,AJ$13,$F36:$J36)&gt;0,ASISTENCIA!AD35&lt;&gt;"X",ASISTENCIA!AD35&lt;&gt;"L",ASISTENCIA!AD35&lt;&gt;"J",ASISTENCIA!AD35&lt;&gt;"V",ASISTENCIA!AD35&lt;&gt;"F",ASISTENCIA!AD35&lt;&gt;""),SUMIF($F$13:$J$13,AJ$13,$F36:$J36),"")</f>
        <v/>
      </c>
      <c r="AK36" s="168" t="str">
        <f>IF(AND(LEN($D36)&gt;0,SUMIF($F$13:$J$13,AK$13,$F36:$J36)&gt;0,ASISTENCIA!AE35&lt;&gt;"X",ASISTENCIA!AE35&lt;&gt;"L",ASISTENCIA!AE35&lt;&gt;"J",ASISTENCIA!AE35&lt;&gt;"V",ASISTENCIA!AE35&lt;&gt;"F",ASISTENCIA!AE35&lt;&gt;""),SUMIF($F$13:$J$13,AK$13,$F36:$J36),"")</f>
        <v/>
      </c>
      <c r="AL36" s="168" t="str">
        <f>IF(AND(LEN($D36)&gt;0,SUMIF($F$13:$J$13,AL$13,$F36:$J36)&gt;0,ASISTENCIA!AF35&lt;&gt;"X",ASISTENCIA!AF35&lt;&gt;"L",ASISTENCIA!AF35&lt;&gt;"J",ASISTENCIA!AF35&lt;&gt;"V",ASISTENCIA!AF35&lt;&gt;"F",ASISTENCIA!AF35&lt;&gt;""),SUMIF($F$13:$J$13,AL$13,$F36:$J36),"")</f>
        <v/>
      </c>
      <c r="AM36" s="168" t="str">
        <f>IF(AND(LEN($D36)&gt;0,SUMIF($F$13:$J$13,AM$13,$F36:$J36)&gt;0,ASISTENCIA!AG35&lt;&gt;"X",ASISTENCIA!AG35&lt;&gt;"L",ASISTENCIA!AG35&lt;&gt;"J",ASISTENCIA!AG35&lt;&gt;"V",ASISTENCIA!AG35&lt;&gt;"F",ASISTENCIA!AG35&lt;&gt;""),SUMIF($F$13:$J$13,AM$13,$F36:$J36),"")</f>
        <v/>
      </c>
      <c r="AN36" s="168" t="str">
        <f>IF(AND(LEN($D36)&gt;0,SUMIF($F$13:$J$13,AN$13,$F36:$J36)&gt;0,ASISTENCIA!AH35&lt;&gt;"X",ASISTENCIA!AH35&lt;&gt;"L",ASISTENCIA!AH35&lt;&gt;"J",ASISTENCIA!AH35&lt;&gt;"V",ASISTENCIA!AH35&lt;&gt;"F",ASISTENCIA!AH35&lt;&gt;""),SUMIF($F$13:$J$13,AN$13,$F36:$J36),"")</f>
        <v/>
      </c>
      <c r="AO36" s="168" t="str">
        <f>IF(AND(LEN($D36)&gt;0,SUMIF($F$13:$J$13,AO$13,$F36:$J36)&gt;0,ASISTENCIA!AI35&lt;&gt;"X",ASISTENCIA!AI35&lt;&gt;"L",ASISTENCIA!AI35&lt;&gt;"J",ASISTENCIA!AI35&lt;&gt;"V",ASISTENCIA!AI35&lt;&gt;"F",ASISTENCIA!AI35&lt;&gt;""),SUMIF($F$13:$J$13,AO$13,$F36:$J36),"")</f>
        <v/>
      </c>
      <c r="AP36" s="168" t="str">
        <f>IF(AND(LEN($D36)&gt;0,SUMIF($F$13:$J$13,AP$13,$F36:$J36)&gt;0,ASISTENCIA!AJ35&lt;&gt;"X",ASISTENCIA!AJ35&lt;&gt;"L",ASISTENCIA!AJ35&lt;&gt;"J",ASISTENCIA!AJ35&lt;&gt;"V",ASISTENCIA!AJ35&lt;&gt;"F",ASISTENCIA!AJ35&lt;&gt;""),SUMIF($F$13:$J$13,AP$13,$F36:$J36),"")</f>
        <v/>
      </c>
      <c r="AQ36" s="168" t="str">
        <f>IF(AND(LEN($D36)&gt;0,SUMIF($F$13:$J$13,AQ$13,$F36:$J36)&gt;0,ASISTENCIA!AK35&lt;&gt;"X",ASISTENCIA!AK35&lt;&gt;"L",ASISTENCIA!AK35&lt;&gt;"J",ASISTENCIA!AK35&lt;&gt;"V",ASISTENCIA!AK35&lt;&gt;"F",ASISTENCIA!AK35&lt;&gt;""),SUMIF($F$13:$J$13,AQ$13,$F36:$J36),"")</f>
        <v/>
      </c>
      <c r="AR36" s="168" t="str">
        <f>IF(AND(LEN($D36)&gt;0,SUMIF($F$13:$J$13,AR$13,$F36:$J36)&gt;0,ASISTENCIA!AL35&lt;&gt;"X",ASISTENCIA!AL35&lt;&gt;"L",ASISTENCIA!AL35&lt;&gt;"J",ASISTENCIA!AL35&lt;&gt;"V",ASISTENCIA!AL35&lt;&gt;"F",ASISTENCIA!AL35&lt;&gt;""),SUMIF($F$13:$J$13,AR$13,$F36:$J36),"")</f>
        <v/>
      </c>
      <c r="AS36" s="168" t="str">
        <f>IF(AND(LEN($D36)&gt;0,SUMIF($F$13:$J$13,AS$13,$F36:$J36)&gt;0,ASISTENCIA!AM35&lt;&gt;"X",ASISTENCIA!AM35&lt;&gt;"L",ASISTENCIA!AM35&lt;&gt;"J",ASISTENCIA!AM35&lt;&gt;"V",ASISTENCIA!AM35&lt;&gt;"F",ASISTENCIA!AM35&lt;&gt;""),SUMIF($F$13:$J$13,AS$13,$F36:$J36),"")</f>
        <v/>
      </c>
      <c r="AT36" s="182" t="str">
        <f t="shared" si="4"/>
        <v/>
      </c>
      <c r="AU36" s="10"/>
      <c r="AV36" s="10"/>
      <c r="AW36" s="10"/>
      <c r="AX36" s="168" t="str">
        <f>IF(AND(LEN($D36)&gt;0,SUMIF($F$13:$J$13,AX$13,$F36:$J36)&gt;0,ASISTENCIA!AU35&lt;&gt;"X",ASISTENCIA!AU35&lt;&gt;"L",ASISTENCIA!AU35&lt;&gt;"J",ASISTENCIA!AU35&lt;&gt;"F"),SUMIF($F$13:$J$13,AX$13,$F36:$J36),"")</f>
        <v/>
      </c>
      <c r="AY36" s="168" t="str">
        <f>IF(AND(LEN($D36)&gt;0,SUMIF($F$13:$J$13,AY$13,$F36:$J36)&gt;0,ASISTENCIA!AV35&lt;&gt;"X",ASISTENCIA!AV35&lt;&gt;"L",ASISTENCIA!AV35&lt;&gt;"J",ASISTENCIA!AV35&lt;&gt;"F"),SUMIF($F$13:$J$13,AY$13,$F36:$J36),"")</f>
        <v/>
      </c>
      <c r="AZ36" s="168" t="str">
        <f>IF(AND(LEN($D36)&gt;0,SUMIF($F$13:$J$13,AZ$13,$F36:$J36)&gt;0,ASISTENCIA!AW35&lt;&gt;"X",ASISTENCIA!AW35&lt;&gt;"L",ASISTENCIA!AW35&lt;&gt;"J",ASISTENCIA!AW35&lt;&gt;"F"),SUMIF($F$13:$J$13,AZ$13,$F36:$J36),"")</f>
        <v/>
      </c>
      <c r="BA36" s="168" t="str">
        <f>IF(AND(LEN($D36)&gt;0,SUMIF($F$13:$J$13,BA$13,$F36:$J36)&gt;0,ASISTENCIA!AX35&lt;&gt;"X",ASISTENCIA!AX35&lt;&gt;"L",ASISTENCIA!AX35&lt;&gt;"J",ASISTENCIA!AX35&lt;&gt;"F"),SUMIF($F$13:$J$13,BA$13,$F36:$J36),"")</f>
        <v/>
      </c>
      <c r="BB36" s="168" t="str">
        <f>IF(AND(LEN($D36)&gt;0,SUMIF($F$13:$J$13,BB$13,$F36:$J36)&gt;0,ASISTENCIA!AY35&lt;&gt;"X",ASISTENCIA!AY35&lt;&gt;"L",ASISTENCIA!AY35&lt;&gt;"J",ASISTENCIA!AY35&lt;&gt;"F"),SUMIF($F$13:$J$13,BB$13,$F36:$J36),"")</f>
        <v/>
      </c>
      <c r="BC36" s="168" t="str">
        <f>IF(AND(LEN($D36)&gt;0,SUMIF($F$13:$J$13,BC$13,$F36:$J36)&gt;0,ASISTENCIA!AZ35&lt;&gt;"X",ASISTENCIA!AZ35&lt;&gt;"L",ASISTENCIA!AZ35&lt;&gt;"J",ASISTENCIA!AZ35&lt;&gt;"F"),SUMIF($F$13:$J$13,BC$13,$F36:$J36),"")</f>
        <v/>
      </c>
      <c r="BD36" s="168" t="str">
        <f>IF(AND(LEN($D36)&gt;0,SUMIF($F$13:$J$13,BD$13,$F36:$J36)&gt;0,ASISTENCIA!BA35&lt;&gt;"X",ASISTENCIA!BA35&lt;&gt;"L",ASISTENCIA!BA35&lt;&gt;"J",ASISTENCIA!BA35&lt;&gt;"F"),SUMIF($F$13:$J$13,BD$13,$F36:$J36),"")</f>
        <v/>
      </c>
      <c r="BE36" s="168" t="str">
        <f>IF(AND(LEN($D36)&gt;0,SUMIF($F$13:$J$13,BE$13,$F36:$J36)&gt;0,ASISTENCIA!BB35&lt;&gt;"X",ASISTENCIA!BB35&lt;&gt;"L",ASISTENCIA!BB35&lt;&gt;"J",ASISTENCIA!BB35&lt;&gt;"F"),SUMIF($F$13:$J$13,BE$13,$F36:$J36),"")</f>
        <v/>
      </c>
      <c r="BF36" s="168" t="str">
        <f>IF(AND(LEN($D36)&gt;0,SUMIF($F$13:$J$13,BF$13,$F36:$J36)&gt;0,ASISTENCIA!#REF!&lt;&gt;"X",ASISTENCIA!#REF!&lt;&gt;"L",ASISTENCIA!#REF!&lt;&gt;"J",ASISTENCIA!#REF!&lt;&gt;"F"),SUMIF($F$13:$J$13,BF$13,$F36:$J36),"")</f>
        <v>#ERROR!</v>
      </c>
      <c r="BG36" s="168" t="str">
        <f>IF(AND(LEN($D36)&gt;0,SUMIF($F$13:$J$13,BG$13,$F36:$J36)&gt;0,ASISTENCIA!#REF!&lt;&gt;"X",ASISTENCIA!#REF!&lt;&gt;"L",ASISTENCIA!#REF!&lt;&gt;"J",ASISTENCIA!#REF!&lt;&gt;"F"),SUMIF($F$13:$J$13,BG$13,$F36:$J36),"")</f>
        <v>#ERROR!</v>
      </c>
      <c r="BH36" s="168" t="str">
        <f>IF(AND(LEN($D36)&gt;0,SUMIF($F$13:$J$13,BH$13,$F36:$J36)&gt;0,ASISTENCIA!BE35&lt;&gt;"X",ASISTENCIA!BE35&lt;&gt;"L",ASISTENCIA!BE35&lt;&gt;"J",ASISTENCIA!BE35&lt;&gt;"F"),SUMIF($F$13:$J$13,BH$13,$F36:$J36),"")</f>
        <v/>
      </c>
      <c r="BI36" s="168" t="str">
        <f>IF(AND(LEN($D36)&gt;0,SUMIF($F$13:$J$13,BI$13,$F36:$J36)&gt;0,ASISTENCIA!BF35&lt;&gt;"X",ASISTENCIA!BF35&lt;&gt;"L",ASISTENCIA!BF35&lt;&gt;"J",ASISTENCIA!BF35&lt;&gt;"F"),SUMIF($F$13:$J$13,BI$13,$F36:$J36),"")</f>
        <v/>
      </c>
      <c r="BJ36" s="168" t="str">
        <f>IF(AND(LEN($D36)&gt;0,SUMIF($F$13:$J$13,BJ$13,$F36:$J36)&gt;0,ASISTENCIA!BG35&lt;&gt;"X",ASISTENCIA!BG35&lt;&gt;"L",ASISTENCIA!BG35&lt;&gt;"J",ASISTENCIA!BG35&lt;&gt;"F"),SUMIF($F$13:$J$13,BJ$13,$F36:$J36),"")</f>
        <v/>
      </c>
      <c r="BK36" s="168" t="str">
        <f>IF(AND(LEN($D36)&gt;0,SUMIF($F$13:$J$13,BK$13,$F36:$J36)&gt;0,ASISTENCIA!BH35&lt;&gt;"X",ASISTENCIA!BH35&lt;&gt;"L",ASISTENCIA!BH35&lt;&gt;"J",ASISTENCIA!BH35&lt;&gt;"F"),SUMIF($F$13:$J$13,BK$13,$F36:$J36),"")</f>
        <v/>
      </c>
      <c r="BL36" s="168" t="str">
        <f>IF(AND(LEN($D36)&gt;0,SUMIF($F$13:$J$13,BL$13,$F36:$J36)&gt;0,ASISTENCIA!BI35&lt;&gt;"X",ASISTENCIA!BI35&lt;&gt;"L",ASISTENCIA!BI35&lt;&gt;"J",ASISTENCIA!BI35&lt;&gt;"F"),SUMIF($F$13:$J$13,BL$13,$F36:$J36),"")</f>
        <v/>
      </c>
      <c r="BM36" s="168" t="str">
        <f>IF(AND(LEN($D36)&gt;0,SUMIF($F$13:$J$13,BM$13,$F36:$J36)&gt;0,ASISTENCIA!BJ35&lt;&gt;"X",ASISTENCIA!BJ35&lt;&gt;"L",ASISTENCIA!BJ35&lt;&gt;"J",ASISTENCIA!BJ35&lt;&gt;"F"),SUMIF($F$13:$J$13,BM$13,$F36:$J36),"")</f>
        <v/>
      </c>
      <c r="BN36" s="168" t="str">
        <f>IF(AND(LEN($D36)&gt;0,SUMIF($F$13:$J$13,BN$13,$F36:$J36)&gt;0,ASISTENCIA!BK35&lt;&gt;"X",ASISTENCIA!BK35&lt;&gt;"L",ASISTENCIA!BK35&lt;&gt;"J",ASISTENCIA!BK35&lt;&gt;"F"),SUMIF($F$13:$J$13,BN$13,$F36:$J36),"")</f>
        <v/>
      </c>
      <c r="BO36" s="168" t="str">
        <f>IF(AND(LEN($D36)&gt;0,SUMIF($F$13:$J$13,BO$13,$F36:$J36)&gt;0,ASISTENCIA!BL35&lt;&gt;"X",ASISTENCIA!BL35&lt;&gt;"L",ASISTENCIA!BL35&lt;&gt;"J",ASISTENCIA!BL35&lt;&gt;"F"),SUMIF($F$13:$J$13,BO$13,$F36:$J36),"")</f>
        <v/>
      </c>
      <c r="BP36" s="168" t="str">
        <f>IF(AND(LEN($D36)&gt;0,SUMIF($F$13:$J$13,BP$13,$F36:$J36)&gt;0,ASISTENCIA!BM35&lt;&gt;"X",ASISTENCIA!BM35&lt;&gt;"L",ASISTENCIA!BM35&lt;&gt;"J",ASISTENCIA!BM35&lt;&gt;"F"),SUMIF($F$13:$J$13,BP$13,$F36:$J36),"")</f>
        <v/>
      </c>
      <c r="BQ36" s="168" t="str">
        <f>IF(AND(LEN($D36)&gt;0,SUMIF($F$13:$J$13,BQ$13,$F36:$J36)&gt;0,ASISTENCIA!BN35&lt;&gt;"X",ASISTENCIA!BN35&lt;&gt;"L",ASISTENCIA!BN35&lt;&gt;"J",ASISTENCIA!BN35&lt;&gt;"F"),SUMIF($F$13:$J$13,BQ$13,$F36:$J36),"")</f>
        <v/>
      </c>
      <c r="BR36" s="168" t="str">
        <f>IF(AND(LEN($D36)&gt;0,SUMIF($F$13:$J$13,BR$13,$F36:$J36)&gt;0,ASISTENCIA!BO35&lt;&gt;"X",ASISTENCIA!BO35&lt;&gt;"L",ASISTENCIA!BO35&lt;&gt;"J",ASISTENCIA!BO35&lt;&gt;"F"),SUMIF($F$13:$J$13,BR$13,$F36:$J36),"")</f>
        <v/>
      </c>
      <c r="BS36" s="168" t="str">
        <f>IF(AND(LEN($D36)&gt;0,SUMIF($F$13:$J$13,BS$13,$F36:$J36)&gt;0,ASISTENCIA!BP35&lt;&gt;"X",ASISTENCIA!BP35&lt;&gt;"L",ASISTENCIA!BP35&lt;&gt;"J",ASISTENCIA!BP35&lt;&gt;"F"),SUMIF($F$13:$J$13,BS$13,$F36:$J36),"")</f>
        <v/>
      </c>
      <c r="BT36" s="168" t="str">
        <f>IF(AND(LEN($D36)&gt;0,SUMIF($F$13:$J$13,BT$13,$F36:$J36)&gt;0,ASISTENCIA!BQ35&lt;&gt;"X",ASISTENCIA!BQ35&lt;&gt;"L",ASISTENCIA!BQ35&lt;&gt;"J",ASISTENCIA!BQ35&lt;&gt;"F"),SUMIF($F$13:$J$13,BT$13,$F36:$J36),"")</f>
        <v/>
      </c>
      <c r="BU36" s="168" t="str">
        <f>IF(AND(LEN($D36)&gt;0,SUMIF($F$13:$J$13,BU$13,$F36:$J36)&gt;0,ASISTENCIA!BR35&lt;&gt;"X",ASISTENCIA!BR35&lt;&gt;"L",ASISTENCIA!BR35&lt;&gt;"J",ASISTENCIA!BR35&lt;&gt;"F"),SUMIF($F$13:$J$13,BU$13,$F36:$J36),"")</f>
        <v/>
      </c>
      <c r="BV36" s="168" t="str">
        <f>IF(AND(LEN($D36)&gt;0,SUMIF($F$13:$J$13,BV$13,$F36:$J36)&gt;0,ASISTENCIA!BS35&lt;&gt;"X",ASISTENCIA!BS35&lt;&gt;"L",ASISTENCIA!BS35&lt;&gt;"J",ASISTENCIA!BS35&lt;&gt;"F"),SUMIF($F$13:$J$13,BV$13,$F36:$J36),"")</f>
        <v/>
      </c>
      <c r="BW36" s="168" t="str">
        <f>IF(AND(LEN($D36)&gt;0,SUMIF($F$13:$J$13,BW$13,$F36:$J36)&gt;0,ASISTENCIA!BT35&lt;&gt;"X",ASISTENCIA!BT35&lt;&gt;"L",ASISTENCIA!BT35&lt;&gt;"J",ASISTENCIA!BT35&lt;&gt;"F"),SUMIF($F$13:$J$13,BW$13,$F36:$J36),"")</f>
        <v/>
      </c>
      <c r="BX36" s="168" t="str">
        <f>IF(AND(LEN($D36)&gt;0,SUMIF($F$13:$J$13,BX$13,$F36:$J36)&gt;0,ASISTENCIA!BU35&lt;&gt;"X",ASISTENCIA!BU35&lt;&gt;"L",ASISTENCIA!BU35&lt;&gt;"J",ASISTENCIA!BU35&lt;&gt;"F"),SUMIF($F$13:$J$13,BX$13,$F36:$J36),"")</f>
        <v/>
      </c>
      <c r="BY36" s="168" t="str">
        <f>IF(AND(LEN($D36)&gt;0,SUMIF($F$13:$J$13,BY$13,$F36:$J36)&gt;0,ASISTENCIA!BV35&lt;&gt;"X",ASISTENCIA!BV35&lt;&gt;"L",ASISTENCIA!BV35&lt;&gt;"J",ASISTENCIA!BV35&lt;&gt;"F"),SUMIF($F$13:$J$13,BY$13,$F36:$J36),"")</f>
        <v/>
      </c>
      <c r="BZ36" s="168" t="str">
        <f>IF(AND(LEN($D36)&gt;0,SUMIF($F$13:$J$13,BZ$13,$F36:$J36)&gt;0,ASISTENCIA!BW35&lt;&gt;"X",ASISTENCIA!BW35&lt;&gt;"L",ASISTENCIA!BW35&lt;&gt;"J",ASISTENCIA!BW35&lt;&gt;"F"),SUMIF($F$13:$J$13,BZ$13,$F36:$J36),"")</f>
        <v/>
      </c>
      <c r="CA36" s="168" t="str">
        <f>IF(AND(LEN($D36)&gt;0,SUMIF($F$13:$J$13,CA$13,$F36:$J36)&gt;0,ASISTENCIA!BX35&lt;&gt;"X",ASISTENCIA!BX35&lt;&gt;"L",ASISTENCIA!BX35&lt;&gt;"J",ASISTENCIA!BX35&lt;&gt;"F"),SUMIF($F$13:$J$13,CA$13,$F36:$J36),"")</f>
        <v/>
      </c>
      <c r="CB36" s="168" t="str">
        <f>IF(AND(LEN($D36)&gt;0,SUMIF($F$13:$J$13,CB$13,$F36:$J36)&gt;0,ASISTENCIA!BY35&lt;&gt;"X",ASISTENCIA!BY35&lt;&gt;"L",ASISTENCIA!BY35&lt;&gt;"J",ASISTENCIA!BY35&lt;&gt;"F"),SUMIF($F$13:$J$13,CB$13,$F36:$J36),"")</f>
        <v/>
      </c>
      <c r="CC36" s="182" t="str">
        <f t="shared" si="5"/>
        <v>#ERROR!</v>
      </c>
      <c r="CD36" s="10"/>
    </row>
    <row r="37" ht="12.75" customHeight="1">
      <c r="A37" s="132" t="str">
        <f t="shared" si="6"/>
        <v/>
      </c>
      <c r="B37" s="183" t="str">
        <f>IF(LEN(C37)&gt;0,VLOOKUP($O$4,DATA!$A$1:$S$1,2,FALSE),"")</f>
        <v/>
      </c>
      <c r="C37" s="184" t="str">
        <f t="shared" si="1"/>
        <v/>
      </c>
      <c r="D37" s="136" t="str">
        <f>IF(LEN(ASISTENCIA!E36)&gt;0,ASISTENCIA!E36,"")</f>
        <v/>
      </c>
      <c r="E37" s="167" t="str">
        <f>IF(LEN(D37)&gt;0,ASISTENCIA!F36,"")</f>
        <v/>
      </c>
      <c r="F37" s="144"/>
      <c r="G37" s="144"/>
      <c r="H37" s="144"/>
      <c r="I37" s="144"/>
      <c r="J37" s="144"/>
      <c r="K37" s="168" t="str">
        <f t="shared" si="2"/>
        <v/>
      </c>
      <c r="L37" s="185"/>
      <c r="M37" s="168"/>
      <c r="N37" s="168" t="str">
        <f t="shared" si="3"/>
        <v>#ERROR!</v>
      </c>
      <c r="O37" s="168" t="str">
        <f>IF(AND(LEN($D37)&gt;0,SUMIF($F$13:$J$13,O$13,$F37:$J37)&gt;0,ASISTENCIA!I36&lt;&gt;"X",ASISTENCIA!I36&lt;&gt;"L",ASISTENCIA!I36&lt;&gt;"J",ASISTENCIA!I36&lt;&gt;"V",ASISTENCIA!I36&lt;&gt;"F",ASISTENCIA!I36&lt;&gt;""),SUMIF($F$13:$J$13,O$13,$F37:$J37),"")</f>
        <v/>
      </c>
      <c r="P37" s="168" t="str">
        <f>IF(AND(LEN($D37)&gt;0,SUMIF($F$13:$J$13,P$13,$F37:$J37)&gt;0,ASISTENCIA!J36&lt;&gt;"X",ASISTENCIA!J36&lt;&gt;"L",ASISTENCIA!J36&lt;&gt;"J",ASISTENCIA!J36&lt;&gt;"V",ASISTENCIA!J36&lt;&gt;"F",ASISTENCIA!J36&lt;&gt;""),SUMIF($F$13:$J$13,P$13,$F37:$J37),"")</f>
        <v/>
      </c>
      <c r="Q37" s="168" t="str">
        <f>IF(AND(LEN($D37)&gt;0,SUMIF($F$13:$J$13,Q$13,$F37:$J37)&gt;0,ASISTENCIA!K36&lt;&gt;"X",ASISTENCIA!K36&lt;&gt;"L",ASISTENCIA!K36&lt;&gt;"J",ASISTENCIA!K36&lt;&gt;"V",ASISTENCIA!K36&lt;&gt;"F",ASISTENCIA!K36&lt;&gt;""),SUMIF($F$13:$J$13,Q$13,$F37:$J37),"")</f>
        <v/>
      </c>
      <c r="R37" s="168" t="str">
        <f>IF(AND(LEN($D37)&gt;0,SUMIF($F$13:$J$13,R$13,$F37:$J37)&gt;0,ASISTENCIA!L36&lt;&gt;"X",ASISTENCIA!L36&lt;&gt;"L",ASISTENCIA!L36&lt;&gt;"J",ASISTENCIA!L36&lt;&gt;"V",ASISTENCIA!L36&lt;&gt;"F",ASISTENCIA!L36&lt;&gt;""),SUMIF($F$13:$J$13,R$13,$F37:$J37),"")</f>
        <v/>
      </c>
      <c r="S37" s="168" t="str">
        <f>IF(AND(LEN($D37)&gt;0,SUMIF($F$13:$J$13,S$13,$F37:$J37)&gt;0,ASISTENCIA!M36&lt;&gt;"X",ASISTENCIA!M36&lt;&gt;"L",ASISTENCIA!M36&lt;&gt;"J",ASISTENCIA!M36&lt;&gt;"V",ASISTENCIA!M36&lt;&gt;"F",ASISTENCIA!M36&lt;&gt;""),SUMIF($F$13:$J$13,S$13,$F37:$J37),"")</f>
        <v/>
      </c>
      <c r="T37" s="168" t="str">
        <f>IF(AND(LEN($D37)&gt;0,SUMIF($F$13:$J$13,T$13,$F37:$J37)&gt;0,ASISTENCIA!N36&lt;&gt;"X",ASISTENCIA!N36&lt;&gt;"L",ASISTENCIA!N36&lt;&gt;"J",ASISTENCIA!N36&lt;&gt;"V",ASISTENCIA!N36&lt;&gt;"F",ASISTENCIA!N36&lt;&gt;""),SUMIF($F$13:$J$13,T$13,$F37:$J37),"")</f>
        <v/>
      </c>
      <c r="U37" s="168" t="str">
        <f>IF(AND(LEN($D37)&gt;0,SUMIF($F$13:$J$13,U$13,$F37:$J37)&gt;0,ASISTENCIA!O36&lt;&gt;"X",ASISTENCIA!O36&lt;&gt;"L",ASISTENCIA!O36&lt;&gt;"J",ASISTENCIA!O36&lt;&gt;"V",ASISTENCIA!O36&lt;&gt;"F",ASISTENCIA!O36&lt;&gt;""),SUMIF($F$13:$J$13,U$13,$F37:$J37),"")</f>
        <v/>
      </c>
      <c r="V37" s="168" t="str">
        <f>IF(AND(LEN($D37)&gt;0,SUMIF($F$13:$J$13,V$13,$F37:$J37)&gt;0,ASISTENCIA!P36&lt;&gt;"X",ASISTENCIA!P36&lt;&gt;"L",ASISTENCIA!P36&lt;&gt;"J",ASISTENCIA!P36&lt;&gt;"V",ASISTENCIA!P36&lt;&gt;"F",ASISTENCIA!P36&lt;&gt;""),SUMIF($F$13:$J$13,V$13,$F37:$J37),"")</f>
        <v/>
      </c>
      <c r="W37" s="168" t="str">
        <f>IF(AND(LEN($D37)&gt;0,SUMIF($F$13:$J$13,W$13,$F37:$J37)&gt;0,ASISTENCIA!Q36&lt;&gt;"X",ASISTENCIA!Q36&lt;&gt;"L",ASISTENCIA!Q36&lt;&gt;"J",ASISTENCIA!Q36&lt;&gt;"V",ASISTENCIA!Q36&lt;&gt;"F",ASISTENCIA!Q36&lt;&gt;""),SUMIF($F$13:$J$13,W$13,$F37:$J37),"")</f>
        <v/>
      </c>
      <c r="X37" s="168" t="str">
        <f>IF(AND(LEN($D37)&gt;0,SUMIF($F$13:$J$13,X$13,$F37:$J37)&gt;0,ASISTENCIA!R36&lt;&gt;"X",ASISTENCIA!R36&lt;&gt;"L",ASISTENCIA!R36&lt;&gt;"J",ASISTENCIA!R36&lt;&gt;"V",ASISTENCIA!R36&lt;&gt;"F",ASISTENCIA!R36&lt;&gt;""),SUMIF($F$13:$J$13,X$13,$F37:$J37),"")</f>
        <v/>
      </c>
      <c r="Y37" s="168" t="str">
        <f>IF(AND(LEN($D37)&gt;0,SUMIF($F$13:$J$13,Y$13,$F37:$J37)&gt;0,ASISTENCIA!S36&lt;&gt;"X",ASISTENCIA!S36&lt;&gt;"L",ASISTENCIA!S36&lt;&gt;"J",ASISTENCIA!S36&lt;&gt;"V",ASISTENCIA!S36&lt;&gt;"F",ASISTENCIA!S36&lt;&gt;""),SUMIF($F$13:$J$13,Y$13,$F37:$J37),"")</f>
        <v/>
      </c>
      <c r="Z37" s="168" t="str">
        <f>IF(AND(LEN($D37)&gt;0,SUMIF($F$13:$J$13,Z$13,$F37:$J37)&gt;0,ASISTENCIA!T36&lt;&gt;"X",ASISTENCIA!T36&lt;&gt;"L",ASISTENCIA!T36&lt;&gt;"J",ASISTENCIA!T36&lt;&gt;"V",ASISTENCIA!T36&lt;&gt;"F",ASISTENCIA!T36&lt;&gt;""),SUMIF($F$13:$J$13,Z$13,$F37:$J37),"")</f>
        <v/>
      </c>
      <c r="AA37" s="168" t="str">
        <f>IF(AND(LEN($D37)&gt;0,SUMIF($F$13:$J$13,AA$13,$F37:$J37)&gt;0,ASISTENCIA!U36&lt;&gt;"X",ASISTENCIA!U36&lt;&gt;"L",ASISTENCIA!U36&lt;&gt;"J",ASISTENCIA!U36&lt;&gt;"V",ASISTENCIA!U36&lt;&gt;"F",ASISTENCIA!U36&lt;&gt;""),SUMIF($F$13:$J$13,AA$13,$F37:$J37),"")</f>
        <v/>
      </c>
      <c r="AB37" s="168" t="str">
        <f>IF(AND(LEN($D37)&gt;0,SUMIF($F$13:$J$13,AB$13,$F37:$J37)&gt;0,ASISTENCIA!V36&lt;&gt;"X",ASISTENCIA!V36&lt;&gt;"L",ASISTENCIA!V36&lt;&gt;"J",ASISTENCIA!V36&lt;&gt;"V",ASISTENCIA!V36&lt;&gt;"F",ASISTENCIA!V36&lt;&gt;""),SUMIF($F$13:$J$13,AB$13,$F37:$J37),"")</f>
        <v/>
      </c>
      <c r="AC37" s="168" t="str">
        <f>IF(AND(LEN($D37)&gt;0,SUMIF($F$13:$J$13,AC$13,$F37:$J37)&gt;0,ASISTENCIA!W36&lt;&gt;"X",ASISTENCIA!W36&lt;&gt;"L",ASISTENCIA!W36&lt;&gt;"J",ASISTENCIA!W36&lt;&gt;"V",ASISTENCIA!W36&lt;&gt;"F",ASISTENCIA!W36&lt;&gt;""),SUMIF($F$13:$J$13,AC$13,$F37:$J37),"")</f>
        <v/>
      </c>
      <c r="AD37" s="168" t="str">
        <f>IF(AND(LEN($D37)&gt;0,SUMIF($F$13:$J$13,AD$13,$F37:$J37)&gt;0,ASISTENCIA!X36&lt;&gt;"X",ASISTENCIA!X36&lt;&gt;"L",ASISTENCIA!X36&lt;&gt;"J",ASISTENCIA!X36&lt;&gt;"V",ASISTENCIA!X36&lt;&gt;"F",ASISTENCIA!X36&lt;&gt;""),SUMIF($F$13:$J$13,AD$13,$F37:$J37),"")</f>
        <v/>
      </c>
      <c r="AE37" s="168" t="str">
        <f>IF(AND(LEN($D37)&gt;0,SUMIF($F$13:$J$13,AE$13,$F37:$J37)&gt;0,ASISTENCIA!Y36&lt;&gt;"X",ASISTENCIA!Y36&lt;&gt;"L",ASISTENCIA!Y36&lt;&gt;"J",ASISTENCIA!Y36&lt;&gt;"V",ASISTENCIA!Y36&lt;&gt;"F",ASISTENCIA!Y36&lt;&gt;""),SUMIF($F$13:$J$13,AE$13,$F37:$J37),"")</f>
        <v/>
      </c>
      <c r="AF37" s="168" t="str">
        <f>IF(AND(LEN($D37)&gt;0,SUMIF($F$13:$J$13,AF$13,$F37:$J37)&gt;0,ASISTENCIA!Z36&lt;&gt;"X",ASISTENCIA!Z36&lt;&gt;"L",ASISTENCIA!Z36&lt;&gt;"J",ASISTENCIA!Z36&lt;&gt;"V",ASISTENCIA!Z36&lt;&gt;"F",ASISTENCIA!Z36&lt;&gt;""),SUMIF($F$13:$J$13,AF$13,$F37:$J37),"")</f>
        <v/>
      </c>
      <c r="AG37" s="168" t="str">
        <f>IF(AND(LEN($D37)&gt;0,SUMIF($F$13:$J$13,AG$13,$F37:$J37)&gt;0,ASISTENCIA!AA36&lt;&gt;"X",ASISTENCIA!AA36&lt;&gt;"L",ASISTENCIA!AA36&lt;&gt;"J",ASISTENCIA!AA36&lt;&gt;"V",ASISTENCIA!AA36&lt;&gt;"F",ASISTENCIA!AA36&lt;&gt;""),SUMIF($F$13:$J$13,AG$13,$F37:$J37),"")</f>
        <v/>
      </c>
      <c r="AH37" s="168" t="str">
        <f>IF(AND(LEN($D37)&gt;0,SUMIF($F$13:$J$13,AH$13,$F37:$J37)&gt;0,ASISTENCIA!AB36&lt;&gt;"X",ASISTENCIA!AB36&lt;&gt;"L",ASISTENCIA!AB36&lt;&gt;"J",ASISTENCIA!AB36&lt;&gt;"V",ASISTENCIA!AB36&lt;&gt;"F",ASISTENCIA!AB36&lt;&gt;""),SUMIF($F$13:$J$13,AH$13,$F37:$J37),"")</f>
        <v/>
      </c>
      <c r="AI37" s="168" t="str">
        <f>IF(AND(LEN($D37)&gt;0,SUMIF($F$13:$J$13,AI$13,$F37:$J37)&gt;0,ASISTENCIA!AC36&lt;&gt;"X",ASISTENCIA!AC36&lt;&gt;"L",ASISTENCIA!AC36&lt;&gt;"J",ASISTENCIA!AC36&lt;&gt;"V",ASISTENCIA!AC36&lt;&gt;"F",ASISTENCIA!AC36&lt;&gt;""),SUMIF($F$13:$J$13,AI$13,$F37:$J37),"")</f>
        <v/>
      </c>
      <c r="AJ37" s="168" t="str">
        <f>IF(AND(LEN($D37)&gt;0,SUMIF($F$13:$J$13,AJ$13,$F37:$J37)&gt;0,ASISTENCIA!AD36&lt;&gt;"X",ASISTENCIA!AD36&lt;&gt;"L",ASISTENCIA!AD36&lt;&gt;"J",ASISTENCIA!AD36&lt;&gt;"V",ASISTENCIA!AD36&lt;&gt;"F",ASISTENCIA!AD36&lt;&gt;""),SUMIF($F$13:$J$13,AJ$13,$F37:$J37),"")</f>
        <v/>
      </c>
      <c r="AK37" s="168" t="str">
        <f>IF(AND(LEN($D37)&gt;0,SUMIF($F$13:$J$13,AK$13,$F37:$J37)&gt;0,ASISTENCIA!AE36&lt;&gt;"X",ASISTENCIA!AE36&lt;&gt;"L",ASISTENCIA!AE36&lt;&gt;"J",ASISTENCIA!AE36&lt;&gt;"V",ASISTENCIA!AE36&lt;&gt;"F",ASISTENCIA!AE36&lt;&gt;""),SUMIF($F$13:$J$13,AK$13,$F37:$J37),"")</f>
        <v/>
      </c>
      <c r="AL37" s="168" t="str">
        <f>IF(AND(LEN($D37)&gt;0,SUMIF($F$13:$J$13,AL$13,$F37:$J37)&gt;0,ASISTENCIA!AF36&lt;&gt;"X",ASISTENCIA!AF36&lt;&gt;"L",ASISTENCIA!AF36&lt;&gt;"J",ASISTENCIA!AF36&lt;&gt;"V",ASISTENCIA!AF36&lt;&gt;"F",ASISTENCIA!AF36&lt;&gt;""),SUMIF($F$13:$J$13,AL$13,$F37:$J37),"")</f>
        <v/>
      </c>
      <c r="AM37" s="168" t="str">
        <f>IF(AND(LEN($D37)&gt;0,SUMIF($F$13:$J$13,AM$13,$F37:$J37)&gt;0,ASISTENCIA!AG36&lt;&gt;"X",ASISTENCIA!AG36&lt;&gt;"L",ASISTENCIA!AG36&lt;&gt;"J",ASISTENCIA!AG36&lt;&gt;"V",ASISTENCIA!AG36&lt;&gt;"F",ASISTENCIA!AG36&lt;&gt;""),SUMIF($F$13:$J$13,AM$13,$F37:$J37),"")</f>
        <v/>
      </c>
      <c r="AN37" s="168" t="str">
        <f>IF(AND(LEN($D37)&gt;0,SUMIF($F$13:$J$13,AN$13,$F37:$J37)&gt;0,ASISTENCIA!AH36&lt;&gt;"X",ASISTENCIA!AH36&lt;&gt;"L",ASISTENCIA!AH36&lt;&gt;"J",ASISTENCIA!AH36&lt;&gt;"V",ASISTENCIA!AH36&lt;&gt;"F",ASISTENCIA!AH36&lt;&gt;""),SUMIF($F$13:$J$13,AN$13,$F37:$J37),"")</f>
        <v/>
      </c>
      <c r="AO37" s="168" t="str">
        <f>IF(AND(LEN($D37)&gt;0,SUMIF($F$13:$J$13,AO$13,$F37:$J37)&gt;0,ASISTENCIA!AI36&lt;&gt;"X",ASISTENCIA!AI36&lt;&gt;"L",ASISTENCIA!AI36&lt;&gt;"J",ASISTENCIA!AI36&lt;&gt;"V",ASISTENCIA!AI36&lt;&gt;"F",ASISTENCIA!AI36&lt;&gt;""),SUMIF($F$13:$J$13,AO$13,$F37:$J37),"")</f>
        <v/>
      </c>
      <c r="AP37" s="168" t="str">
        <f>IF(AND(LEN($D37)&gt;0,SUMIF($F$13:$J$13,AP$13,$F37:$J37)&gt;0,ASISTENCIA!AJ36&lt;&gt;"X",ASISTENCIA!AJ36&lt;&gt;"L",ASISTENCIA!AJ36&lt;&gt;"J",ASISTENCIA!AJ36&lt;&gt;"V",ASISTENCIA!AJ36&lt;&gt;"F",ASISTENCIA!AJ36&lt;&gt;""),SUMIF($F$13:$J$13,AP$13,$F37:$J37),"")</f>
        <v/>
      </c>
      <c r="AQ37" s="168" t="str">
        <f>IF(AND(LEN($D37)&gt;0,SUMIF($F$13:$J$13,AQ$13,$F37:$J37)&gt;0,ASISTENCIA!AK36&lt;&gt;"X",ASISTENCIA!AK36&lt;&gt;"L",ASISTENCIA!AK36&lt;&gt;"J",ASISTENCIA!AK36&lt;&gt;"V",ASISTENCIA!AK36&lt;&gt;"F",ASISTENCIA!AK36&lt;&gt;""),SUMIF($F$13:$J$13,AQ$13,$F37:$J37),"")</f>
        <v/>
      </c>
      <c r="AR37" s="168" t="str">
        <f>IF(AND(LEN($D37)&gt;0,SUMIF($F$13:$J$13,AR$13,$F37:$J37)&gt;0,ASISTENCIA!AL36&lt;&gt;"X",ASISTENCIA!AL36&lt;&gt;"L",ASISTENCIA!AL36&lt;&gt;"J",ASISTENCIA!AL36&lt;&gt;"V",ASISTENCIA!AL36&lt;&gt;"F",ASISTENCIA!AL36&lt;&gt;""),SUMIF($F$13:$J$13,AR$13,$F37:$J37),"")</f>
        <v/>
      </c>
      <c r="AS37" s="168" t="str">
        <f>IF(AND(LEN($D37)&gt;0,SUMIF($F$13:$J$13,AS$13,$F37:$J37)&gt;0,ASISTENCIA!AM36&lt;&gt;"X",ASISTENCIA!AM36&lt;&gt;"L",ASISTENCIA!AM36&lt;&gt;"J",ASISTENCIA!AM36&lt;&gt;"V",ASISTENCIA!AM36&lt;&gt;"F",ASISTENCIA!AM36&lt;&gt;""),SUMIF($F$13:$J$13,AS$13,$F37:$J37),"")</f>
        <v/>
      </c>
      <c r="AT37" s="182" t="str">
        <f t="shared" si="4"/>
        <v/>
      </c>
      <c r="AU37" s="10"/>
      <c r="AV37" s="10"/>
      <c r="AW37" s="10"/>
      <c r="AX37" s="168" t="str">
        <f>IF(AND(LEN($D37)&gt;0,SUMIF($F$13:$J$13,AX$13,$F37:$J37)&gt;0,ASISTENCIA!AU36&lt;&gt;"X",ASISTENCIA!AU36&lt;&gt;"L",ASISTENCIA!AU36&lt;&gt;"J",ASISTENCIA!AU36&lt;&gt;"F"),SUMIF($F$13:$J$13,AX$13,$F37:$J37),"")</f>
        <v/>
      </c>
      <c r="AY37" s="168" t="str">
        <f>IF(AND(LEN($D37)&gt;0,SUMIF($F$13:$J$13,AY$13,$F37:$J37)&gt;0,ASISTENCIA!AV36&lt;&gt;"X",ASISTENCIA!AV36&lt;&gt;"L",ASISTENCIA!AV36&lt;&gt;"J",ASISTENCIA!AV36&lt;&gt;"F"),SUMIF($F$13:$J$13,AY$13,$F37:$J37),"")</f>
        <v/>
      </c>
      <c r="AZ37" s="168" t="str">
        <f>IF(AND(LEN($D37)&gt;0,SUMIF($F$13:$J$13,AZ$13,$F37:$J37)&gt;0,ASISTENCIA!AW36&lt;&gt;"X",ASISTENCIA!AW36&lt;&gt;"L",ASISTENCIA!AW36&lt;&gt;"J",ASISTENCIA!AW36&lt;&gt;"F"),SUMIF($F$13:$J$13,AZ$13,$F37:$J37),"")</f>
        <v/>
      </c>
      <c r="BA37" s="168" t="str">
        <f>IF(AND(LEN($D37)&gt;0,SUMIF($F$13:$J$13,BA$13,$F37:$J37)&gt;0,ASISTENCIA!AX36&lt;&gt;"X",ASISTENCIA!AX36&lt;&gt;"L",ASISTENCIA!AX36&lt;&gt;"J",ASISTENCIA!AX36&lt;&gt;"F"),SUMIF($F$13:$J$13,BA$13,$F37:$J37),"")</f>
        <v/>
      </c>
      <c r="BB37" s="168" t="str">
        <f>IF(AND(LEN($D37)&gt;0,SUMIF($F$13:$J$13,BB$13,$F37:$J37)&gt;0,ASISTENCIA!AY36&lt;&gt;"X",ASISTENCIA!AY36&lt;&gt;"L",ASISTENCIA!AY36&lt;&gt;"J",ASISTENCIA!AY36&lt;&gt;"F"),SUMIF($F$13:$J$13,BB$13,$F37:$J37),"")</f>
        <v/>
      </c>
      <c r="BC37" s="168" t="str">
        <f>IF(AND(LEN($D37)&gt;0,SUMIF($F$13:$J$13,BC$13,$F37:$J37)&gt;0,ASISTENCIA!AZ36&lt;&gt;"X",ASISTENCIA!AZ36&lt;&gt;"L",ASISTENCIA!AZ36&lt;&gt;"J",ASISTENCIA!AZ36&lt;&gt;"F"),SUMIF($F$13:$J$13,BC$13,$F37:$J37),"")</f>
        <v/>
      </c>
      <c r="BD37" s="168" t="str">
        <f>IF(AND(LEN($D37)&gt;0,SUMIF($F$13:$J$13,BD$13,$F37:$J37)&gt;0,ASISTENCIA!BA36&lt;&gt;"X",ASISTENCIA!BA36&lt;&gt;"L",ASISTENCIA!BA36&lt;&gt;"J",ASISTENCIA!BA36&lt;&gt;"F"),SUMIF($F$13:$J$13,BD$13,$F37:$J37),"")</f>
        <v/>
      </c>
      <c r="BE37" s="168" t="str">
        <f>IF(AND(LEN($D37)&gt;0,SUMIF($F$13:$J$13,BE$13,$F37:$J37)&gt;0,ASISTENCIA!BB36&lt;&gt;"X",ASISTENCIA!BB36&lt;&gt;"L",ASISTENCIA!BB36&lt;&gt;"J",ASISTENCIA!BB36&lt;&gt;"F"),SUMIF($F$13:$J$13,BE$13,$F37:$J37),"")</f>
        <v/>
      </c>
      <c r="BF37" s="168" t="str">
        <f>IF(AND(LEN($D37)&gt;0,SUMIF($F$13:$J$13,BF$13,$F37:$J37)&gt;0,ASISTENCIA!#REF!&lt;&gt;"X",ASISTENCIA!#REF!&lt;&gt;"L",ASISTENCIA!#REF!&lt;&gt;"J",ASISTENCIA!#REF!&lt;&gt;"F"),SUMIF($F$13:$J$13,BF$13,$F37:$J37),"")</f>
        <v>#ERROR!</v>
      </c>
      <c r="BG37" s="168" t="str">
        <f>IF(AND(LEN($D37)&gt;0,SUMIF($F$13:$J$13,BG$13,$F37:$J37)&gt;0,ASISTENCIA!#REF!&lt;&gt;"X",ASISTENCIA!#REF!&lt;&gt;"L",ASISTENCIA!#REF!&lt;&gt;"J",ASISTENCIA!#REF!&lt;&gt;"F"),SUMIF($F$13:$J$13,BG$13,$F37:$J37),"")</f>
        <v>#ERROR!</v>
      </c>
      <c r="BH37" s="168" t="str">
        <f>IF(AND(LEN($D37)&gt;0,SUMIF($F$13:$J$13,BH$13,$F37:$J37)&gt;0,ASISTENCIA!BE36&lt;&gt;"X",ASISTENCIA!BE36&lt;&gt;"L",ASISTENCIA!BE36&lt;&gt;"J",ASISTENCIA!BE36&lt;&gt;"F"),SUMIF($F$13:$J$13,BH$13,$F37:$J37),"")</f>
        <v/>
      </c>
      <c r="BI37" s="168" t="str">
        <f>IF(AND(LEN($D37)&gt;0,SUMIF($F$13:$J$13,BI$13,$F37:$J37)&gt;0,ASISTENCIA!BF36&lt;&gt;"X",ASISTENCIA!BF36&lt;&gt;"L",ASISTENCIA!BF36&lt;&gt;"J",ASISTENCIA!BF36&lt;&gt;"F"),SUMIF($F$13:$J$13,BI$13,$F37:$J37),"")</f>
        <v/>
      </c>
      <c r="BJ37" s="168" t="str">
        <f>IF(AND(LEN($D37)&gt;0,SUMIF($F$13:$J$13,BJ$13,$F37:$J37)&gt;0,ASISTENCIA!BG36&lt;&gt;"X",ASISTENCIA!BG36&lt;&gt;"L",ASISTENCIA!BG36&lt;&gt;"J",ASISTENCIA!BG36&lt;&gt;"F"),SUMIF($F$13:$J$13,BJ$13,$F37:$J37),"")</f>
        <v/>
      </c>
      <c r="BK37" s="168" t="str">
        <f>IF(AND(LEN($D37)&gt;0,SUMIF($F$13:$J$13,BK$13,$F37:$J37)&gt;0,ASISTENCIA!BH36&lt;&gt;"X",ASISTENCIA!BH36&lt;&gt;"L",ASISTENCIA!BH36&lt;&gt;"J",ASISTENCIA!BH36&lt;&gt;"F"),SUMIF($F$13:$J$13,BK$13,$F37:$J37),"")</f>
        <v/>
      </c>
      <c r="BL37" s="168" t="str">
        <f>IF(AND(LEN($D37)&gt;0,SUMIF($F$13:$J$13,BL$13,$F37:$J37)&gt;0,ASISTENCIA!BI36&lt;&gt;"X",ASISTENCIA!BI36&lt;&gt;"L",ASISTENCIA!BI36&lt;&gt;"J",ASISTENCIA!BI36&lt;&gt;"F"),SUMIF($F$13:$J$13,BL$13,$F37:$J37),"")</f>
        <v/>
      </c>
      <c r="BM37" s="168" t="str">
        <f>IF(AND(LEN($D37)&gt;0,SUMIF($F$13:$J$13,BM$13,$F37:$J37)&gt;0,ASISTENCIA!BJ36&lt;&gt;"X",ASISTENCIA!BJ36&lt;&gt;"L",ASISTENCIA!BJ36&lt;&gt;"J",ASISTENCIA!BJ36&lt;&gt;"F"),SUMIF($F$13:$J$13,BM$13,$F37:$J37),"")</f>
        <v/>
      </c>
      <c r="BN37" s="168" t="str">
        <f>IF(AND(LEN($D37)&gt;0,SUMIF($F$13:$J$13,BN$13,$F37:$J37)&gt;0,ASISTENCIA!BK36&lt;&gt;"X",ASISTENCIA!BK36&lt;&gt;"L",ASISTENCIA!BK36&lt;&gt;"J",ASISTENCIA!BK36&lt;&gt;"F"),SUMIF($F$13:$J$13,BN$13,$F37:$J37),"")</f>
        <v/>
      </c>
      <c r="BO37" s="168" t="str">
        <f>IF(AND(LEN($D37)&gt;0,SUMIF($F$13:$J$13,BO$13,$F37:$J37)&gt;0,ASISTENCIA!BL36&lt;&gt;"X",ASISTENCIA!BL36&lt;&gt;"L",ASISTENCIA!BL36&lt;&gt;"J",ASISTENCIA!BL36&lt;&gt;"F"),SUMIF($F$13:$J$13,BO$13,$F37:$J37),"")</f>
        <v/>
      </c>
      <c r="BP37" s="168" t="str">
        <f>IF(AND(LEN($D37)&gt;0,SUMIF($F$13:$J$13,BP$13,$F37:$J37)&gt;0,ASISTENCIA!BM36&lt;&gt;"X",ASISTENCIA!BM36&lt;&gt;"L",ASISTENCIA!BM36&lt;&gt;"J",ASISTENCIA!BM36&lt;&gt;"F"),SUMIF($F$13:$J$13,BP$13,$F37:$J37),"")</f>
        <v/>
      </c>
      <c r="BQ37" s="168" t="str">
        <f>IF(AND(LEN($D37)&gt;0,SUMIF($F$13:$J$13,BQ$13,$F37:$J37)&gt;0,ASISTENCIA!BN36&lt;&gt;"X",ASISTENCIA!BN36&lt;&gt;"L",ASISTENCIA!BN36&lt;&gt;"J",ASISTENCIA!BN36&lt;&gt;"F"),SUMIF($F$13:$J$13,BQ$13,$F37:$J37),"")</f>
        <v/>
      </c>
      <c r="BR37" s="168" t="str">
        <f>IF(AND(LEN($D37)&gt;0,SUMIF($F$13:$J$13,BR$13,$F37:$J37)&gt;0,ASISTENCIA!BO36&lt;&gt;"X",ASISTENCIA!BO36&lt;&gt;"L",ASISTENCIA!BO36&lt;&gt;"J",ASISTENCIA!BO36&lt;&gt;"F"),SUMIF($F$13:$J$13,BR$13,$F37:$J37),"")</f>
        <v/>
      </c>
      <c r="BS37" s="168" t="str">
        <f>IF(AND(LEN($D37)&gt;0,SUMIF($F$13:$J$13,BS$13,$F37:$J37)&gt;0,ASISTENCIA!BP36&lt;&gt;"X",ASISTENCIA!BP36&lt;&gt;"L",ASISTENCIA!BP36&lt;&gt;"J",ASISTENCIA!BP36&lt;&gt;"F"),SUMIF($F$13:$J$13,BS$13,$F37:$J37),"")</f>
        <v/>
      </c>
      <c r="BT37" s="168" t="str">
        <f>IF(AND(LEN($D37)&gt;0,SUMIF($F$13:$J$13,BT$13,$F37:$J37)&gt;0,ASISTENCIA!BQ36&lt;&gt;"X",ASISTENCIA!BQ36&lt;&gt;"L",ASISTENCIA!BQ36&lt;&gt;"J",ASISTENCIA!BQ36&lt;&gt;"F"),SUMIF($F$13:$J$13,BT$13,$F37:$J37),"")</f>
        <v/>
      </c>
      <c r="BU37" s="168" t="str">
        <f>IF(AND(LEN($D37)&gt;0,SUMIF($F$13:$J$13,BU$13,$F37:$J37)&gt;0,ASISTENCIA!BR36&lt;&gt;"X",ASISTENCIA!BR36&lt;&gt;"L",ASISTENCIA!BR36&lt;&gt;"J",ASISTENCIA!BR36&lt;&gt;"F"),SUMIF($F$13:$J$13,BU$13,$F37:$J37),"")</f>
        <v/>
      </c>
      <c r="BV37" s="168" t="str">
        <f>IF(AND(LEN($D37)&gt;0,SUMIF($F$13:$J$13,BV$13,$F37:$J37)&gt;0,ASISTENCIA!BS36&lt;&gt;"X",ASISTENCIA!BS36&lt;&gt;"L",ASISTENCIA!BS36&lt;&gt;"J",ASISTENCIA!BS36&lt;&gt;"F"),SUMIF($F$13:$J$13,BV$13,$F37:$J37),"")</f>
        <v/>
      </c>
      <c r="BW37" s="168" t="str">
        <f>IF(AND(LEN($D37)&gt;0,SUMIF($F$13:$J$13,BW$13,$F37:$J37)&gt;0,ASISTENCIA!BT36&lt;&gt;"X",ASISTENCIA!BT36&lt;&gt;"L",ASISTENCIA!BT36&lt;&gt;"J",ASISTENCIA!BT36&lt;&gt;"F"),SUMIF($F$13:$J$13,BW$13,$F37:$J37),"")</f>
        <v/>
      </c>
      <c r="BX37" s="168" t="str">
        <f>IF(AND(LEN($D37)&gt;0,SUMIF($F$13:$J$13,BX$13,$F37:$J37)&gt;0,ASISTENCIA!BU36&lt;&gt;"X",ASISTENCIA!BU36&lt;&gt;"L",ASISTENCIA!BU36&lt;&gt;"J",ASISTENCIA!BU36&lt;&gt;"F"),SUMIF($F$13:$J$13,BX$13,$F37:$J37),"")</f>
        <v/>
      </c>
      <c r="BY37" s="168" t="str">
        <f>IF(AND(LEN($D37)&gt;0,SUMIF($F$13:$J$13,BY$13,$F37:$J37)&gt;0,ASISTENCIA!BV36&lt;&gt;"X",ASISTENCIA!BV36&lt;&gt;"L",ASISTENCIA!BV36&lt;&gt;"J",ASISTENCIA!BV36&lt;&gt;"F"),SUMIF($F$13:$J$13,BY$13,$F37:$J37),"")</f>
        <v/>
      </c>
      <c r="BZ37" s="168" t="str">
        <f>IF(AND(LEN($D37)&gt;0,SUMIF($F$13:$J$13,BZ$13,$F37:$J37)&gt;0,ASISTENCIA!BW36&lt;&gt;"X",ASISTENCIA!BW36&lt;&gt;"L",ASISTENCIA!BW36&lt;&gt;"J",ASISTENCIA!BW36&lt;&gt;"F"),SUMIF($F$13:$J$13,BZ$13,$F37:$J37),"")</f>
        <v/>
      </c>
      <c r="CA37" s="168" t="str">
        <f>IF(AND(LEN($D37)&gt;0,SUMIF($F$13:$J$13,CA$13,$F37:$J37)&gt;0,ASISTENCIA!BX36&lt;&gt;"X",ASISTENCIA!BX36&lt;&gt;"L",ASISTENCIA!BX36&lt;&gt;"J",ASISTENCIA!BX36&lt;&gt;"F"),SUMIF($F$13:$J$13,CA$13,$F37:$J37),"")</f>
        <v/>
      </c>
      <c r="CB37" s="168" t="str">
        <f>IF(AND(LEN($D37)&gt;0,SUMIF($F$13:$J$13,CB$13,$F37:$J37)&gt;0,ASISTENCIA!BY36&lt;&gt;"X",ASISTENCIA!BY36&lt;&gt;"L",ASISTENCIA!BY36&lt;&gt;"J",ASISTENCIA!BY36&lt;&gt;"F"),SUMIF($F$13:$J$13,CB$13,$F37:$J37),"")</f>
        <v/>
      </c>
      <c r="CC37" s="182" t="str">
        <f t="shared" si="5"/>
        <v>#ERROR!</v>
      </c>
      <c r="CD37" s="10"/>
    </row>
    <row r="38" ht="12.75" customHeight="1">
      <c r="A38" s="132" t="str">
        <f t="shared" si="6"/>
        <v/>
      </c>
      <c r="B38" s="183" t="str">
        <f>IF(LEN(C38)&gt;0,VLOOKUP($O$4,DATA!$A$1:$S$1,2,FALSE),"")</f>
        <v/>
      </c>
      <c r="C38" s="184" t="str">
        <f t="shared" si="1"/>
        <v/>
      </c>
      <c r="D38" s="136" t="str">
        <f>IF(LEN(ASISTENCIA!E37)&gt;0,ASISTENCIA!E37,"")</f>
        <v/>
      </c>
      <c r="E38" s="167" t="str">
        <f>IF(LEN(D38)&gt;0,ASISTENCIA!F37,"")</f>
        <v/>
      </c>
      <c r="F38" s="144"/>
      <c r="G38" s="144"/>
      <c r="H38" s="144"/>
      <c r="I38" s="144"/>
      <c r="J38" s="144"/>
      <c r="K38" s="168" t="str">
        <f t="shared" si="2"/>
        <v/>
      </c>
      <c r="L38" s="185"/>
      <c r="M38" s="168"/>
      <c r="N38" s="168" t="str">
        <f t="shared" si="3"/>
        <v>#ERROR!</v>
      </c>
      <c r="O38" s="168" t="str">
        <f>IF(AND(LEN($D38)&gt;0,SUMIF($F$13:$J$13,O$13,$F38:$J38)&gt;0,ASISTENCIA!I37&lt;&gt;"X",ASISTENCIA!I37&lt;&gt;"L",ASISTENCIA!I37&lt;&gt;"J",ASISTENCIA!I37&lt;&gt;"V",ASISTENCIA!I37&lt;&gt;"F",ASISTENCIA!I37&lt;&gt;""),SUMIF($F$13:$J$13,O$13,$F38:$J38),"")</f>
        <v/>
      </c>
      <c r="P38" s="168" t="str">
        <f>IF(AND(LEN($D38)&gt;0,SUMIF($F$13:$J$13,P$13,$F38:$J38)&gt;0,ASISTENCIA!J37&lt;&gt;"X",ASISTENCIA!J37&lt;&gt;"L",ASISTENCIA!J37&lt;&gt;"J",ASISTENCIA!J37&lt;&gt;"V",ASISTENCIA!J37&lt;&gt;"F",ASISTENCIA!J37&lt;&gt;""),SUMIF($F$13:$J$13,P$13,$F38:$J38),"")</f>
        <v/>
      </c>
      <c r="Q38" s="168" t="str">
        <f>IF(AND(LEN($D38)&gt;0,SUMIF($F$13:$J$13,Q$13,$F38:$J38)&gt;0,ASISTENCIA!K37&lt;&gt;"X",ASISTENCIA!K37&lt;&gt;"L",ASISTENCIA!K37&lt;&gt;"J",ASISTENCIA!K37&lt;&gt;"V",ASISTENCIA!K37&lt;&gt;"F",ASISTENCIA!K37&lt;&gt;""),SUMIF($F$13:$J$13,Q$13,$F38:$J38),"")</f>
        <v/>
      </c>
      <c r="R38" s="168" t="str">
        <f>IF(AND(LEN($D38)&gt;0,SUMIF($F$13:$J$13,R$13,$F38:$J38)&gt;0,ASISTENCIA!L37&lt;&gt;"X",ASISTENCIA!L37&lt;&gt;"L",ASISTENCIA!L37&lt;&gt;"J",ASISTENCIA!L37&lt;&gt;"V",ASISTENCIA!L37&lt;&gt;"F",ASISTENCIA!L37&lt;&gt;""),SUMIF($F$13:$J$13,R$13,$F38:$J38),"")</f>
        <v/>
      </c>
      <c r="S38" s="168" t="str">
        <f>IF(AND(LEN($D38)&gt;0,SUMIF($F$13:$J$13,S$13,$F38:$J38)&gt;0,ASISTENCIA!M37&lt;&gt;"X",ASISTENCIA!M37&lt;&gt;"L",ASISTENCIA!M37&lt;&gt;"J",ASISTENCIA!M37&lt;&gt;"V",ASISTENCIA!M37&lt;&gt;"F",ASISTENCIA!M37&lt;&gt;""),SUMIF($F$13:$J$13,S$13,$F38:$J38),"")</f>
        <v/>
      </c>
      <c r="T38" s="168" t="str">
        <f>IF(AND(LEN($D38)&gt;0,SUMIF($F$13:$J$13,T$13,$F38:$J38)&gt;0,ASISTENCIA!N37&lt;&gt;"X",ASISTENCIA!N37&lt;&gt;"L",ASISTENCIA!N37&lt;&gt;"J",ASISTENCIA!N37&lt;&gt;"V",ASISTENCIA!N37&lt;&gt;"F",ASISTENCIA!N37&lt;&gt;""),SUMIF($F$13:$J$13,T$13,$F38:$J38),"")</f>
        <v/>
      </c>
      <c r="U38" s="168" t="str">
        <f>IF(AND(LEN($D38)&gt;0,SUMIF($F$13:$J$13,U$13,$F38:$J38)&gt;0,ASISTENCIA!O37&lt;&gt;"X",ASISTENCIA!O37&lt;&gt;"L",ASISTENCIA!O37&lt;&gt;"J",ASISTENCIA!O37&lt;&gt;"V",ASISTENCIA!O37&lt;&gt;"F",ASISTENCIA!O37&lt;&gt;""),SUMIF($F$13:$J$13,U$13,$F38:$J38),"")</f>
        <v/>
      </c>
      <c r="V38" s="168" t="str">
        <f>IF(AND(LEN($D38)&gt;0,SUMIF($F$13:$J$13,V$13,$F38:$J38)&gt;0,ASISTENCIA!P37&lt;&gt;"X",ASISTENCIA!P37&lt;&gt;"L",ASISTENCIA!P37&lt;&gt;"J",ASISTENCIA!P37&lt;&gt;"V",ASISTENCIA!P37&lt;&gt;"F",ASISTENCIA!P37&lt;&gt;""),SUMIF($F$13:$J$13,V$13,$F38:$J38),"")</f>
        <v/>
      </c>
      <c r="W38" s="168" t="str">
        <f>IF(AND(LEN($D38)&gt;0,SUMIF($F$13:$J$13,W$13,$F38:$J38)&gt;0,ASISTENCIA!Q37&lt;&gt;"X",ASISTENCIA!Q37&lt;&gt;"L",ASISTENCIA!Q37&lt;&gt;"J",ASISTENCIA!Q37&lt;&gt;"V",ASISTENCIA!Q37&lt;&gt;"F",ASISTENCIA!Q37&lt;&gt;""),SUMIF($F$13:$J$13,W$13,$F38:$J38),"")</f>
        <v/>
      </c>
      <c r="X38" s="168" t="str">
        <f>IF(AND(LEN($D38)&gt;0,SUMIF($F$13:$J$13,X$13,$F38:$J38)&gt;0,ASISTENCIA!R37&lt;&gt;"X",ASISTENCIA!R37&lt;&gt;"L",ASISTENCIA!R37&lt;&gt;"J",ASISTENCIA!R37&lt;&gt;"V",ASISTENCIA!R37&lt;&gt;"F",ASISTENCIA!R37&lt;&gt;""),SUMIF($F$13:$J$13,X$13,$F38:$J38),"")</f>
        <v/>
      </c>
      <c r="Y38" s="168" t="str">
        <f>IF(AND(LEN($D38)&gt;0,SUMIF($F$13:$J$13,Y$13,$F38:$J38)&gt;0,ASISTENCIA!S37&lt;&gt;"X",ASISTENCIA!S37&lt;&gt;"L",ASISTENCIA!S37&lt;&gt;"J",ASISTENCIA!S37&lt;&gt;"V",ASISTENCIA!S37&lt;&gt;"F",ASISTENCIA!S37&lt;&gt;""),SUMIF($F$13:$J$13,Y$13,$F38:$J38),"")</f>
        <v/>
      </c>
      <c r="Z38" s="168" t="str">
        <f>IF(AND(LEN($D38)&gt;0,SUMIF($F$13:$J$13,Z$13,$F38:$J38)&gt;0,ASISTENCIA!T37&lt;&gt;"X",ASISTENCIA!T37&lt;&gt;"L",ASISTENCIA!T37&lt;&gt;"J",ASISTENCIA!T37&lt;&gt;"V",ASISTENCIA!T37&lt;&gt;"F",ASISTENCIA!T37&lt;&gt;""),SUMIF($F$13:$J$13,Z$13,$F38:$J38),"")</f>
        <v/>
      </c>
      <c r="AA38" s="168" t="str">
        <f>IF(AND(LEN($D38)&gt;0,SUMIF($F$13:$J$13,AA$13,$F38:$J38)&gt;0,ASISTENCIA!U37&lt;&gt;"X",ASISTENCIA!U37&lt;&gt;"L",ASISTENCIA!U37&lt;&gt;"J",ASISTENCIA!U37&lt;&gt;"V",ASISTENCIA!U37&lt;&gt;"F",ASISTENCIA!U37&lt;&gt;""),SUMIF($F$13:$J$13,AA$13,$F38:$J38),"")</f>
        <v/>
      </c>
      <c r="AB38" s="168" t="str">
        <f>IF(AND(LEN($D38)&gt;0,SUMIF($F$13:$J$13,AB$13,$F38:$J38)&gt;0,ASISTENCIA!V37&lt;&gt;"X",ASISTENCIA!V37&lt;&gt;"L",ASISTENCIA!V37&lt;&gt;"J",ASISTENCIA!V37&lt;&gt;"V",ASISTENCIA!V37&lt;&gt;"F",ASISTENCIA!V37&lt;&gt;""),SUMIF($F$13:$J$13,AB$13,$F38:$J38),"")</f>
        <v/>
      </c>
      <c r="AC38" s="168" t="str">
        <f>IF(AND(LEN($D38)&gt;0,SUMIF($F$13:$J$13,AC$13,$F38:$J38)&gt;0,ASISTENCIA!W37&lt;&gt;"X",ASISTENCIA!W37&lt;&gt;"L",ASISTENCIA!W37&lt;&gt;"J",ASISTENCIA!W37&lt;&gt;"V",ASISTENCIA!W37&lt;&gt;"F",ASISTENCIA!W37&lt;&gt;""),SUMIF($F$13:$J$13,AC$13,$F38:$J38),"")</f>
        <v/>
      </c>
      <c r="AD38" s="168" t="str">
        <f>IF(AND(LEN($D38)&gt;0,SUMIF($F$13:$J$13,AD$13,$F38:$J38)&gt;0,ASISTENCIA!X37&lt;&gt;"X",ASISTENCIA!X37&lt;&gt;"L",ASISTENCIA!X37&lt;&gt;"J",ASISTENCIA!X37&lt;&gt;"V",ASISTENCIA!X37&lt;&gt;"F",ASISTENCIA!X37&lt;&gt;""),SUMIF($F$13:$J$13,AD$13,$F38:$J38),"")</f>
        <v/>
      </c>
      <c r="AE38" s="168" t="str">
        <f>IF(AND(LEN($D38)&gt;0,SUMIF($F$13:$J$13,AE$13,$F38:$J38)&gt;0,ASISTENCIA!Y37&lt;&gt;"X",ASISTENCIA!Y37&lt;&gt;"L",ASISTENCIA!Y37&lt;&gt;"J",ASISTENCIA!Y37&lt;&gt;"V",ASISTENCIA!Y37&lt;&gt;"F",ASISTENCIA!Y37&lt;&gt;""),SUMIF($F$13:$J$13,AE$13,$F38:$J38),"")</f>
        <v/>
      </c>
      <c r="AF38" s="168" t="str">
        <f>IF(AND(LEN($D38)&gt;0,SUMIF($F$13:$J$13,AF$13,$F38:$J38)&gt;0,ASISTENCIA!Z37&lt;&gt;"X",ASISTENCIA!Z37&lt;&gt;"L",ASISTENCIA!Z37&lt;&gt;"J",ASISTENCIA!Z37&lt;&gt;"V",ASISTENCIA!Z37&lt;&gt;"F",ASISTENCIA!Z37&lt;&gt;""),SUMIF($F$13:$J$13,AF$13,$F38:$J38),"")</f>
        <v/>
      </c>
      <c r="AG38" s="168" t="str">
        <f>IF(AND(LEN($D38)&gt;0,SUMIF($F$13:$J$13,AG$13,$F38:$J38)&gt;0,ASISTENCIA!AA37&lt;&gt;"X",ASISTENCIA!AA37&lt;&gt;"L",ASISTENCIA!AA37&lt;&gt;"J",ASISTENCIA!AA37&lt;&gt;"V",ASISTENCIA!AA37&lt;&gt;"F",ASISTENCIA!AA37&lt;&gt;""),SUMIF($F$13:$J$13,AG$13,$F38:$J38),"")</f>
        <v/>
      </c>
      <c r="AH38" s="168" t="str">
        <f>IF(AND(LEN($D38)&gt;0,SUMIF($F$13:$J$13,AH$13,$F38:$J38)&gt;0,ASISTENCIA!AB37&lt;&gt;"X",ASISTENCIA!AB37&lt;&gt;"L",ASISTENCIA!AB37&lt;&gt;"J",ASISTENCIA!AB37&lt;&gt;"V",ASISTENCIA!AB37&lt;&gt;"F",ASISTENCIA!AB37&lt;&gt;""),SUMIF($F$13:$J$13,AH$13,$F38:$J38),"")</f>
        <v/>
      </c>
      <c r="AI38" s="168" t="str">
        <f>IF(AND(LEN($D38)&gt;0,SUMIF($F$13:$J$13,AI$13,$F38:$J38)&gt;0,ASISTENCIA!AC37&lt;&gt;"X",ASISTENCIA!AC37&lt;&gt;"L",ASISTENCIA!AC37&lt;&gt;"J",ASISTENCIA!AC37&lt;&gt;"V",ASISTENCIA!AC37&lt;&gt;"F",ASISTENCIA!AC37&lt;&gt;""),SUMIF($F$13:$J$13,AI$13,$F38:$J38),"")</f>
        <v/>
      </c>
      <c r="AJ38" s="168" t="str">
        <f>IF(AND(LEN($D38)&gt;0,SUMIF($F$13:$J$13,AJ$13,$F38:$J38)&gt;0,ASISTENCIA!AD37&lt;&gt;"X",ASISTENCIA!AD37&lt;&gt;"L",ASISTENCIA!AD37&lt;&gt;"J",ASISTENCIA!AD37&lt;&gt;"V",ASISTENCIA!AD37&lt;&gt;"F",ASISTENCIA!AD37&lt;&gt;""),SUMIF($F$13:$J$13,AJ$13,$F38:$J38),"")</f>
        <v/>
      </c>
      <c r="AK38" s="168" t="str">
        <f>IF(AND(LEN($D38)&gt;0,SUMIF($F$13:$J$13,AK$13,$F38:$J38)&gt;0,ASISTENCIA!AE37&lt;&gt;"X",ASISTENCIA!AE37&lt;&gt;"L",ASISTENCIA!AE37&lt;&gt;"J",ASISTENCIA!AE37&lt;&gt;"V",ASISTENCIA!AE37&lt;&gt;"F",ASISTENCIA!AE37&lt;&gt;""),SUMIF($F$13:$J$13,AK$13,$F38:$J38),"")</f>
        <v/>
      </c>
      <c r="AL38" s="168" t="str">
        <f>IF(AND(LEN($D38)&gt;0,SUMIF($F$13:$J$13,AL$13,$F38:$J38)&gt;0,ASISTENCIA!AF37&lt;&gt;"X",ASISTENCIA!AF37&lt;&gt;"L",ASISTENCIA!AF37&lt;&gt;"J",ASISTENCIA!AF37&lt;&gt;"V",ASISTENCIA!AF37&lt;&gt;"F",ASISTENCIA!AF37&lt;&gt;""),SUMIF($F$13:$J$13,AL$13,$F38:$J38),"")</f>
        <v/>
      </c>
      <c r="AM38" s="168" t="str">
        <f>IF(AND(LEN($D38)&gt;0,SUMIF($F$13:$J$13,AM$13,$F38:$J38)&gt;0,ASISTENCIA!AG37&lt;&gt;"X",ASISTENCIA!AG37&lt;&gt;"L",ASISTENCIA!AG37&lt;&gt;"J",ASISTENCIA!AG37&lt;&gt;"V",ASISTENCIA!AG37&lt;&gt;"F",ASISTENCIA!AG37&lt;&gt;""),SUMIF($F$13:$J$13,AM$13,$F38:$J38),"")</f>
        <v/>
      </c>
      <c r="AN38" s="168" t="str">
        <f>IF(AND(LEN($D38)&gt;0,SUMIF($F$13:$J$13,AN$13,$F38:$J38)&gt;0,ASISTENCIA!AH37&lt;&gt;"X",ASISTENCIA!AH37&lt;&gt;"L",ASISTENCIA!AH37&lt;&gt;"J",ASISTENCIA!AH37&lt;&gt;"V",ASISTENCIA!AH37&lt;&gt;"F",ASISTENCIA!AH37&lt;&gt;""),SUMIF($F$13:$J$13,AN$13,$F38:$J38),"")</f>
        <v/>
      </c>
      <c r="AO38" s="168" t="str">
        <f>IF(AND(LEN($D38)&gt;0,SUMIF($F$13:$J$13,AO$13,$F38:$J38)&gt;0,ASISTENCIA!AI37&lt;&gt;"X",ASISTENCIA!AI37&lt;&gt;"L",ASISTENCIA!AI37&lt;&gt;"J",ASISTENCIA!AI37&lt;&gt;"V",ASISTENCIA!AI37&lt;&gt;"F",ASISTENCIA!AI37&lt;&gt;""),SUMIF($F$13:$J$13,AO$13,$F38:$J38),"")</f>
        <v/>
      </c>
      <c r="AP38" s="168" t="str">
        <f>IF(AND(LEN($D38)&gt;0,SUMIF($F$13:$J$13,AP$13,$F38:$J38)&gt;0,ASISTENCIA!AJ37&lt;&gt;"X",ASISTENCIA!AJ37&lt;&gt;"L",ASISTENCIA!AJ37&lt;&gt;"J",ASISTENCIA!AJ37&lt;&gt;"V",ASISTENCIA!AJ37&lt;&gt;"F",ASISTENCIA!AJ37&lt;&gt;""),SUMIF($F$13:$J$13,AP$13,$F38:$J38),"")</f>
        <v/>
      </c>
      <c r="AQ38" s="168" t="str">
        <f>IF(AND(LEN($D38)&gt;0,SUMIF($F$13:$J$13,AQ$13,$F38:$J38)&gt;0,ASISTENCIA!AK37&lt;&gt;"X",ASISTENCIA!AK37&lt;&gt;"L",ASISTENCIA!AK37&lt;&gt;"J",ASISTENCIA!AK37&lt;&gt;"V",ASISTENCIA!AK37&lt;&gt;"F",ASISTENCIA!AK37&lt;&gt;""),SUMIF($F$13:$J$13,AQ$13,$F38:$J38),"")</f>
        <v/>
      </c>
      <c r="AR38" s="168" t="str">
        <f>IF(AND(LEN($D38)&gt;0,SUMIF($F$13:$J$13,AR$13,$F38:$J38)&gt;0,ASISTENCIA!AL37&lt;&gt;"X",ASISTENCIA!AL37&lt;&gt;"L",ASISTENCIA!AL37&lt;&gt;"J",ASISTENCIA!AL37&lt;&gt;"V",ASISTENCIA!AL37&lt;&gt;"F",ASISTENCIA!AL37&lt;&gt;""),SUMIF($F$13:$J$13,AR$13,$F38:$J38),"")</f>
        <v/>
      </c>
      <c r="AS38" s="168" t="str">
        <f>IF(AND(LEN($D38)&gt;0,SUMIF($F$13:$J$13,AS$13,$F38:$J38)&gt;0,ASISTENCIA!AM37&lt;&gt;"X",ASISTENCIA!AM37&lt;&gt;"L",ASISTENCIA!AM37&lt;&gt;"J",ASISTENCIA!AM37&lt;&gt;"V",ASISTENCIA!AM37&lt;&gt;"F",ASISTENCIA!AM37&lt;&gt;""),SUMIF($F$13:$J$13,AS$13,$F38:$J38),"")</f>
        <v/>
      </c>
      <c r="AT38" s="182" t="str">
        <f t="shared" si="4"/>
        <v/>
      </c>
      <c r="AU38" s="10"/>
      <c r="AV38" s="10"/>
      <c r="AW38" s="10"/>
      <c r="AX38" s="168" t="str">
        <f>IF(AND(LEN($D38)&gt;0,SUMIF($F$13:$J$13,AX$13,$F38:$J38)&gt;0,ASISTENCIA!AU37&lt;&gt;"X",ASISTENCIA!AU37&lt;&gt;"L",ASISTENCIA!AU37&lt;&gt;"J",ASISTENCIA!AU37&lt;&gt;"F"),SUMIF($F$13:$J$13,AX$13,$F38:$J38),"")</f>
        <v/>
      </c>
      <c r="AY38" s="168" t="str">
        <f>IF(AND(LEN($D38)&gt;0,SUMIF($F$13:$J$13,AY$13,$F38:$J38)&gt;0,ASISTENCIA!AV37&lt;&gt;"X",ASISTENCIA!AV37&lt;&gt;"L",ASISTENCIA!AV37&lt;&gt;"J",ASISTENCIA!AV37&lt;&gt;"F"),SUMIF($F$13:$J$13,AY$13,$F38:$J38),"")</f>
        <v/>
      </c>
      <c r="AZ38" s="168" t="str">
        <f>IF(AND(LEN($D38)&gt;0,SUMIF($F$13:$J$13,AZ$13,$F38:$J38)&gt;0,ASISTENCIA!AW37&lt;&gt;"X",ASISTENCIA!AW37&lt;&gt;"L",ASISTENCIA!AW37&lt;&gt;"J",ASISTENCIA!AW37&lt;&gt;"F"),SUMIF($F$13:$J$13,AZ$13,$F38:$J38),"")</f>
        <v/>
      </c>
      <c r="BA38" s="168" t="str">
        <f>IF(AND(LEN($D38)&gt;0,SUMIF($F$13:$J$13,BA$13,$F38:$J38)&gt;0,ASISTENCIA!AX37&lt;&gt;"X",ASISTENCIA!AX37&lt;&gt;"L",ASISTENCIA!AX37&lt;&gt;"J",ASISTENCIA!AX37&lt;&gt;"F"),SUMIF($F$13:$J$13,BA$13,$F38:$J38),"")</f>
        <v/>
      </c>
      <c r="BB38" s="168" t="str">
        <f>IF(AND(LEN($D38)&gt;0,SUMIF($F$13:$J$13,BB$13,$F38:$J38)&gt;0,ASISTENCIA!AY37&lt;&gt;"X",ASISTENCIA!AY37&lt;&gt;"L",ASISTENCIA!AY37&lt;&gt;"J",ASISTENCIA!AY37&lt;&gt;"F"),SUMIF($F$13:$J$13,BB$13,$F38:$J38),"")</f>
        <v/>
      </c>
      <c r="BC38" s="168" t="str">
        <f>IF(AND(LEN($D38)&gt;0,SUMIF($F$13:$J$13,BC$13,$F38:$J38)&gt;0,ASISTENCIA!AZ37&lt;&gt;"X",ASISTENCIA!AZ37&lt;&gt;"L",ASISTENCIA!AZ37&lt;&gt;"J",ASISTENCIA!AZ37&lt;&gt;"F"),SUMIF($F$13:$J$13,BC$13,$F38:$J38),"")</f>
        <v/>
      </c>
      <c r="BD38" s="168" t="str">
        <f>IF(AND(LEN($D38)&gt;0,SUMIF($F$13:$J$13,BD$13,$F38:$J38)&gt;0,ASISTENCIA!BA37&lt;&gt;"X",ASISTENCIA!BA37&lt;&gt;"L",ASISTENCIA!BA37&lt;&gt;"J",ASISTENCIA!BA37&lt;&gt;"F"),SUMIF($F$13:$J$13,BD$13,$F38:$J38),"")</f>
        <v/>
      </c>
      <c r="BE38" s="168" t="str">
        <f>IF(AND(LEN($D38)&gt;0,SUMIF($F$13:$J$13,BE$13,$F38:$J38)&gt;0,ASISTENCIA!BB37&lt;&gt;"X",ASISTENCIA!BB37&lt;&gt;"L",ASISTENCIA!BB37&lt;&gt;"J",ASISTENCIA!BB37&lt;&gt;"F"),SUMIF($F$13:$J$13,BE$13,$F38:$J38),"")</f>
        <v/>
      </c>
      <c r="BF38" s="168" t="str">
        <f>IF(AND(LEN($D38)&gt;0,SUMIF($F$13:$J$13,BF$13,$F38:$J38)&gt;0,ASISTENCIA!#REF!&lt;&gt;"X",ASISTENCIA!#REF!&lt;&gt;"L",ASISTENCIA!#REF!&lt;&gt;"J",ASISTENCIA!#REF!&lt;&gt;"F"),SUMIF($F$13:$J$13,BF$13,$F38:$J38),"")</f>
        <v>#ERROR!</v>
      </c>
      <c r="BG38" s="168" t="str">
        <f>IF(AND(LEN($D38)&gt;0,SUMIF($F$13:$J$13,BG$13,$F38:$J38)&gt;0,ASISTENCIA!#REF!&lt;&gt;"X",ASISTENCIA!#REF!&lt;&gt;"L",ASISTENCIA!#REF!&lt;&gt;"J",ASISTENCIA!#REF!&lt;&gt;"F"),SUMIF($F$13:$J$13,BG$13,$F38:$J38),"")</f>
        <v>#ERROR!</v>
      </c>
      <c r="BH38" s="168" t="str">
        <f>IF(AND(LEN($D38)&gt;0,SUMIF($F$13:$J$13,BH$13,$F38:$J38)&gt;0,ASISTENCIA!BE37&lt;&gt;"X",ASISTENCIA!BE37&lt;&gt;"L",ASISTENCIA!BE37&lt;&gt;"J",ASISTENCIA!BE37&lt;&gt;"F"),SUMIF($F$13:$J$13,BH$13,$F38:$J38),"")</f>
        <v/>
      </c>
      <c r="BI38" s="168" t="str">
        <f>IF(AND(LEN($D38)&gt;0,SUMIF($F$13:$J$13,BI$13,$F38:$J38)&gt;0,ASISTENCIA!BF37&lt;&gt;"X",ASISTENCIA!BF37&lt;&gt;"L",ASISTENCIA!BF37&lt;&gt;"J",ASISTENCIA!BF37&lt;&gt;"F"),SUMIF($F$13:$J$13,BI$13,$F38:$J38),"")</f>
        <v/>
      </c>
      <c r="BJ38" s="168" t="str">
        <f>IF(AND(LEN($D38)&gt;0,SUMIF($F$13:$J$13,BJ$13,$F38:$J38)&gt;0,ASISTENCIA!BG37&lt;&gt;"X",ASISTENCIA!BG37&lt;&gt;"L",ASISTENCIA!BG37&lt;&gt;"J",ASISTENCIA!BG37&lt;&gt;"F"),SUMIF($F$13:$J$13,BJ$13,$F38:$J38),"")</f>
        <v/>
      </c>
      <c r="BK38" s="168" t="str">
        <f>IF(AND(LEN($D38)&gt;0,SUMIF($F$13:$J$13,BK$13,$F38:$J38)&gt;0,ASISTENCIA!BH37&lt;&gt;"X",ASISTENCIA!BH37&lt;&gt;"L",ASISTENCIA!BH37&lt;&gt;"J",ASISTENCIA!BH37&lt;&gt;"F"),SUMIF($F$13:$J$13,BK$13,$F38:$J38),"")</f>
        <v/>
      </c>
      <c r="BL38" s="168" t="str">
        <f>IF(AND(LEN($D38)&gt;0,SUMIF($F$13:$J$13,BL$13,$F38:$J38)&gt;0,ASISTENCIA!BI37&lt;&gt;"X",ASISTENCIA!BI37&lt;&gt;"L",ASISTENCIA!BI37&lt;&gt;"J",ASISTENCIA!BI37&lt;&gt;"F"),SUMIF($F$13:$J$13,BL$13,$F38:$J38),"")</f>
        <v/>
      </c>
      <c r="BM38" s="168" t="str">
        <f>IF(AND(LEN($D38)&gt;0,SUMIF($F$13:$J$13,BM$13,$F38:$J38)&gt;0,ASISTENCIA!BJ37&lt;&gt;"X",ASISTENCIA!BJ37&lt;&gt;"L",ASISTENCIA!BJ37&lt;&gt;"J",ASISTENCIA!BJ37&lt;&gt;"F"),SUMIF($F$13:$J$13,BM$13,$F38:$J38),"")</f>
        <v/>
      </c>
      <c r="BN38" s="168" t="str">
        <f>IF(AND(LEN($D38)&gt;0,SUMIF($F$13:$J$13,BN$13,$F38:$J38)&gt;0,ASISTENCIA!BK37&lt;&gt;"X",ASISTENCIA!BK37&lt;&gt;"L",ASISTENCIA!BK37&lt;&gt;"J",ASISTENCIA!BK37&lt;&gt;"F"),SUMIF($F$13:$J$13,BN$13,$F38:$J38),"")</f>
        <v/>
      </c>
      <c r="BO38" s="168" t="str">
        <f>IF(AND(LEN($D38)&gt;0,SUMIF($F$13:$J$13,BO$13,$F38:$J38)&gt;0,ASISTENCIA!BL37&lt;&gt;"X",ASISTENCIA!BL37&lt;&gt;"L",ASISTENCIA!BL37&lt;&gt;"J",ASISTENCIA!BL37&lt;&gt;"F"),SUMIF($F$13:$J$13,BO$13,$F38:$J38),"")</f>
        <v/>
      </c>
      <c r="BP38" s="168" t="str">
        <f>IF(AND(LEN($D38)&gt;0,SUMIF($F$13:$J$13,BP$13,$F38:$J38)&gt;0,ASISTENCIA!BM37&lt;&gt;"X",ASISTENCIA!BM37&lt;&gt;"L",ASISTENCIA!BM37&lt;&gt;"J",ASISTENCIA!BM37&lt;&gt;"F"),SUMIF($F$13:$J$13,BP$13,$F38:$J38),"")</f>
        <v/>
      </c>
      <c r="BQ38" s="168" t="str">
        <f>IF(AND(LEN($D38)&gt;0,SUMIF($F$13:$J$13,BQ$13,$F38:$J38)&gt;0,ASISTENCIA!BN37&lt;&gt;"X",ASISTENCIA!BN37&lt;&gt;"L",ASISTENCIA!BN37&lt;&gt;"J",ASISTENCIA!BN37&lt;&gt;"F"),SUMIF($F$13:$J$13,BQ$13,$F38:$J38),"")</f>
        <v/>
      </c>
      <c r="BR38" s="168" t="str">
        <f>IF(AND(LEN($D38)&gt;0,SUMIF($F$13:$J$13,BR$13,$F38:$J38)&gt;0,ASISTENCIA!BO37&lt;&gt;"X",ASISTENCIA!BO37&lt;&gt;"L",ASISTENCIA!BO37&lt;&gt;"J",ASISTENCIA!BO37&lt;&gt;"F"),SUMIF($F$13:$J$13,BR$13,$F38:$J38),"")</f>
        <v/>
      </c>
      <c r="BS38" s="168" t="str">
        <f>IF(AND(LEN($D38)&gt;0,SUMIF($F$13:$J$13,BS$13,$F38:$J38)&gt;0,ASISTENCIA!BP37&lt;&gt;"X",ASISTENCIA!BP37&lt;&gt;"L",ASISTENCIA!BP37&lt;&gt;"J",ASISTENCIA!BP37&lt;&gt;"F"),SUMIF($F$13:$J$13,BS$13,$F38:$J38),"")</f>
        <v/>
      </c>
      <c r="BT38" s="168" t="str">
        <f>IF(AND(LEN($D38)&gt;0,SUMIF($F$13:$J$13,BT$13,$F38:$J38)&gt;0,ASISTENCIA!BQ37&lt;&gt;"X",ASISTENCIA!BQ37&lt;&gt;"L",ASISTENCIA!BQ37&lt;&gt;"J",ASISTENCIA!BQ37&lt;&gt;"F"),SUMIF($F$13:$J$13,BT$13,$F38:$J38),"")</f>
        <v/>
      </c>
      <c r="BU38" s="168" t="str">
        <f>IF(AND(LEN($D38)&gt;0,SUMIF($F$13:$J$13,BU$13,$F38:$J38)&gt;0,ASISTENCIA!BR37&lt;&gt;"X",ASISTENCIA!BR37&lt;&gt;"L",ASISTENCIA!BR37&lt;&gt;"J",ASISTENCIA!BR37&lt;&gt;"F"),SUMIF($F$13:$J$13,BU$13,$F38:$J38),"")</f>
        <v/>
      </c>
      <c r="BV38" s="168" t="str">
        <f>IF(AND(LEN($D38)&gt;0,SUMIF($F$13:$J$13,BV$13,$F38:$J38)&gt;0,ASISTENCIA!BS37&lt;&gt;"X",ASISTENCIA!BS37&lt;&gt;"L",ASISTENCIA!BS37&lt;&gt;"J",ASISTENCIA!BS37&lt;&gt;"F"),SUMIF($F$13:$J$13,BV$13,$F38:$J38),"")</f>
        <v/>
      </c>
      <c r="BW38" s="168" t="str">
        <f>IF(AND(LEN($D38)&gt;0,SUMIF($F$13:$J$13,BW$13,$F38:$J38)&gt;0,ASISTENCIA!BT37&lt;&gt;"X",ASISTENCIA!BT37&lt;&gt;"L",ASISTENCIA!BT37&lt;&gt;"J",ASISTENCIA!BT37&lt;&gt;"F"),SUMIF($F$13:$J$13,BW$13,$F38:$J38),"")</f>
        <v/>
      </c>
      <c r="BX38" s="168" t="str">
        <f>IF(AND(LEN($D38)&gt;0,SUMIF($F$13:$J$13,BX$13,$F38:$J38)&gt;0,ASISTENCIA!BU37&lt;&gt;"X",ASISTENCIA!BU37&lt;&gt;"L",ASISTENCIA!BU37&lt;&gt;"J",ASISTENCIA!BU37&lt;&gt;"F"),SUMIF($F$13:$J$13,BX$13,$F38:$J38),"")</f>
        <v/>
      </c>
      <c r="BY38" s="168" t="str">
        <f>IF(AND(LEN($D38)&gt;0,SUMIF($F$13:$J$13,BY$13,$F38:$J38)&gt;0,ASISTENCIA!BV37&lt;&gt;"X",ASISTENCIA!BV37&lt;&gt;"L",ASISTENCIA!BV37&lt;&gt;"J",ASISTENCIA!BV37&lt;&gt;"F"),SUMIF($F$13:$J$13,BY$13,$F38:$J38),"")</f>
        <v/>
      </c>
      <c r="BZ38" s="168" t="str">
        <f>IF(AND(LEN($D38)&gt;0,SUMIF($F$13:$J$13,BZ$13,$F38:$J38)&gt;0,ASISTENCIA!BW37&lt;&gt;"X",ASISTENCIA!BW37&lt;&gt;"L",ASISTENCIA!BW37&lt;&gt;"J",ASISTENCIA!BW37&lt;&gt;"F"),SUMIF($F$13:$J$13,BZ$13,$F38:$J38),"")</f>
        <v/>
      </c>
      <c r="CA38" s="168" t="str">
        <f>IF(AND(LEN($D38)&gt;0,SUMIF($F$13:$J$13,CA$13,$F38:$J38)&gt;0,ASISTENCIA!BX37&lt;&gt;"X",ASISTENCIA!BX37&lt;&gt;"L",ASISTENCIA!BX37&lt;&gt;"J",ASISTENCIA!BX37&lt;&gt;"F"),SUMIF($F$13:$J$13,CA$13,$F38:$J38),"")</f>
        <v/>
      </c>
      <c r="CB38" s="168" t="str">
        <f>IF(AND(LEN($D38)&gt;0,SUMIF($F$13:$J$13,CB$13,$F38:$J38)&gt;0,ASISTENCIA!BY37&lt;&gt;"X",ASISTENCIA!BY37&lt;&gt;"L",ASISTENCIA!BY37&lt;&gt;"J",ASISTENCIA!BY37&lt;&gt;"F"),SUMIF($F$13:$J$13,CB$13,$F38:$J38),"")</f>
        <v/>
      </c>
      <c r="CC38" s="182" t="str">
        <f t="shared" si="5"/>
        <v>#ERROR!</v>
      </c>
      <c r="CD38" s="10"/>
    </row>
    <row r="39" ht="12.75" customHeight="1">
      <c r="A39" s="132" t="str">
        <f t="shared" si="6"/>
        <v/>
      </c>
      <c r="B39" s="183" t="str">
        <f>IF(LEN(C39)&gt;0,VLOOKUP($O$4,DATA!$A$1:$S$1,2,FALSE),"")</f>
        <v/>
      </c>
      <c r="C39" s="184" t="str">
        <f t="shared" si="1"/>
        <v/>
      </c>
      <c r="D39" s="136" t="str">
        <f>IF(LEN(ASISTENCIA!E38)&gt;0,ASISTENCIA!E38,"")</f>
        <v/>
      </c>
      <c r="E39" s="167" t="str">
        <f>IF(LEN(D39)&gt;0,ASISTENCIA!F38,"")</f>
        <v/>
      </c>
      <c r="F39" s="144"/>
      <c r="G39" s="144"/>
      <c r="H39" s="144"/>
      <c r="I39" s="144"/>
      <c r="J39" s="144"/>
      <c r="K39" s="168" t="str">
        <f t="shared" si="2"/>
        <v/>
      </c>
      <c r="L39" s="185"/>
      <c r="M39" s="168"/>
      <c r="N39" s="168" t="str">
        <f t="shared" si="3"/>
        <v>#ERROR!</v>
      </c>
      <c r="O39" s="168" t="str">
        <f>IF(AND(LEN($D39)&gt;0,SUMIF($F$13:$J$13,O$13,$F39:$J39)&gt;0,ASISTENCIA!I38&lt;&gt;"X",ASISTENCIA!I38&lt;&gt;"L",ASISTENCIA!I38&lt;&gt;"J",ASISTENCIA!I38&lt;&gt;"V",ASISTENCIA!I38&lt;&gt;"F",ASISTENCIA!I38&lt;&gt;""),SUMIF($F$13:$J$13,O$13,$F39:$J39),"")</f>
        <v/>
      </c>
      <c r="P39" s="168" t="str">
        <f>IF(AND(LEN($D39)&gt;0,SUMIF($F$13:$J$13,P$13,$F39:$J39)&gt;0,ASISTENCIA!J38&lt;&gt;"X",ASISTENCIA!J38&lt;&gt;"L",ASISTENCIA!J38&lt;&gt;"J",ASISTENCIA!J38&lt;&gt;"V",ASISTENCIA!J38&lt;&gt;"F",ASISTENCIA!J38&lt;&gt;""),SUMIF($F$13:$J$13,P$13,$F39:$J39),"")</f>
        <v/>
      </c>
      <c r="Q39" s="168" t="str">
        <f>IF(AND(LEN($D39)&gt;0,SUMIF($F$13:$J$13,Q$13,$F39:$J39)&gt;0,ASISTENCIA!K38&lt;&gt;"X",ASISTENCIA!K38&lt;&gt;"L",ASISTENCIA!K38&lt;&gt;"J",ASISTENCIA!K38&lt;&gt;"V",ASISTENCIA!K38&lt;&gt;"F",ASISTENCIA!K38&lt;&gt;""),SUMIF($F$13:$J$13,Q$13,$F39:$J39),"")</f>
        <v/>
      </c>
      <c r="R39" s="168" t="str">
        <f>IF(AND(LEN($D39)&gt;0,SUMIF($F$13:$J$13,R$13,$F39:$J39)&gt;0,ASISTENCIA!L38&lt;&gt;"X",ASISTENCIA!L38&lt;&gt;"L",ASISTENCIA!L38&lt;&gt;"J",ASISTENCIA!L38&lt;&gt;"V",ASISTENCIA!L38&lt;&gt;"F",ASISTENCIA!L38&lt;&gt;""),SUMIF($F$13:$J$13,R$13,$F39:$J39),"")</f>
        <v/>
      </c>
      <c r="S39" s="168" t="str">
        <f>IF(AND(LEN($D39)&gt;0,SUMIF($F$13:$J$13,S$13,$F39:$J39)&gt;0,ASISTENCIA!M38&lt;&gt;"X",ASISTENCIA!M38&lt;&gt;"L",ASISTENCIA!M38&lt;&gt;"J",ASISTENCIA!M38&lt;&gt;"V",ASISTENCIA!M38&lt;&gt;"F",ASISTENCIA!M38&lt;&gt;""),SUMIF($F$13:$J$13,S$13,$F39:$J39),"")</f>
        <v/>
      </c>
      <c r="T39" s="168" t="str">
        <f>IF(AND(LEN($D39)&gt;0,SUMIF($F$13:$J$13,T$13,$F39:$J39)&gt;0,ASISTENCIA!N38&lt;&gt;"X",ASISTENCIA!N38&lt;&gt;"L",ASISTENCIA!N38&lt;&gt;"J",ASISTENCIA!N38&lt;&gt;"V",ASISTENCIA!N38&lt;&gt;"F",ASISTENCIA!N38&lt;&gt;""),SUMIF($F$13:$J$13,T$13,$F39:$J39),"")</f>
        <v/>
      </c>
      <c r="U39" s="168" t="str">
        <f>IF(AND(LEN($D39)&gt;0,SUMIF($F$13:$J$13,U$13,$F39:$J39)&gt;0,ASISTENCIA!O38&lt;&gt;"X",ASISTENCIA!O38&lt;&gt;"L",ASISTENCIA!O38&lt;&gt;"J",ASISTENCIA!O38&lt;&gt;"V",ASISTENCIA!O38&lt;&gt;"F",ASISTENCIA!O38&lt;&gt;""),SUMIF($F$13:$J$13,U$13,$F39:$J39),"")</f>
        <v/>
      </c>
      <c r="V39" s="168" t="str">
        <f>IF(AND(LEN($D39)&gt;0,SUMIF($F$13:$J$13,V$13,$F39:$J39)&gt;0,ASISTENCIA!P38&lt;&gt;"X",ASISTENCIA!P38&lt;&gt;"L",ASISTENCIA!P38&lt;&gt;"J",ASISTENCIA!P38&lt;&gt;"V",ASISTENCIA!P38&lt;&gt;"F",ASISTENCIA!P38&lt;&gt;""),SUMIF($F$13:$J$13,V$13,$F39:$J39),"")</f>
        <v/>
      </c>
      <c r="W39" s="168" t="str">
        <f>IF(AND(LEN($D39)&gt;0,SUMIF($F$13:$J$13,W$13,$F39:$J39)&gt;0,ASISTENCIA!Q38&lt;&gt;"X",ASISTENCIA!Q38&lt;&gt;"L",ASISTENCIA!Q38&lt;&gt;"J",ASISTENCIA!Q38&lt;&gt;"V",ASISTENCIA!Q38&lt;&gt;"F",ASISTENCIA!Q38&lt;&gt;""),SUMIF($F$13:$J$13,W$13,$F39:$J39),"")</f>
        <v/>
      </c>
      <c r="X39" s="168" t="str">
        <f>IF(AND(LEN($D39)&gt;0,SUMIF($F$13:$J$13,X$13,$F39:$J39)&gt;0,ASISTENCIA!R38&lt;&gt;"X",ASISTENCIA!R38&lt;&gt;"L",ASISTENCIA!R38&lt;&gt;"J",ASISTENCIA!R38&lt;&gt;"V",ASISTENCIA!R38&lt;&gt;"F",ASISTENCIA!R38&lt;&gt;""),SUMIF($F$13:$J$13,X$13,$F39:$J39),"")</f>
        <v/>
      </c>
      <c r="Y39" s="168" t="str">
        <f>IF(AND(LEN($D39)&gt;0,SUMIF($F$13:$J$13,Y$13,$F39:$J39)&gt;0,ASISTENCIA!S38&lt;&gt;"X",ASISTENCIA!S38&lt;&gt;"L",ASISTENCIA!S38&lt;&gt;"J",ASISTENCIA!S38&lt;&gt;"V",ASISTENCIA!S38&lt;&gt;"F",ASISTENCIA!S38&lt;&gt;""),SUMIF($F$13:$J$13,Y$13,$F39:$J39),"")</f>
        <v/>
      </c>
      <c r="Z39" s="168" t="str">
        <f>IF(AND(LEN($D39)&gt;0,SUMIF($F$13:$J$13,Z$13,$F39:$J39)&gt;0,ASISTENCIA!T38&lt;&gt;"X",ASISTENCIA!T38&lt;&gt;"L",ASISTENCIA!T38&lt;&gt;"J",ASISTENCIA!T38&lt;&gt;"V",ASISTENCIA!T38&lt;&gt;"F",ASISTENCIA!T38&lt;&gt;""),SUMIF($F$13:$J$13,Z$13,$F39:$J39),"")</f>
        <v/>
      </c>
      <c r="AA39" s="168" t="str">
        <f>IF(AND(LEN($D39)&gt;0,SUMIF($F$13:$J$13,AA$13,$F39:$J39)&gt;0,ASISTENCIA!U38&lt;&gt;"X",ASISTENCIA!U38&lt;&gt;"L",ASISTENCIA!U38&lt;&gt;"J",ASISTENCIA!U38&lt;&gt;"V",ASISTENCIA!U38&lt;&gt;"F",ASISTENCIA!U38&lt;&gt;""),SUMIF($F$13:$J$13,AA$13,$F39:$J39),"")</f>
        <v/>
      </c>
      <c r="AB39" s="168" t="str">
        <f>IF(AND(LEN($D39)&gt;0,SUMIF($F$13:$J$13,AB$13,$F39:$J39)&gt;0,ASISTENCIA!V38&lt;&gt;"X",ASISTENCIA!V38&lt;&gt;"L",ASISTENCIA!V38&lt;&gt;"J",ASISTENCIA!V38&lt;&gt;"V",ASISTENCIA!V38&lt;&gt;"F",ASISTENCIA!V38&lt;&gt;""),SUMIF($F$13:$J$13,AB$13,$F39:$J39),"")</f>
        <v/>
      </c>
      <c r="AC39" s="168" t="str">
        <f>IF(AND(LEN($D39)&gt;0,SUMIF($F$13:$J$13,AC$13,$F39:$J39)&gt;0,ASISTENCIA!W38&lt;&gt;"X",ASISTENCIA!W38&lt;&gt;"L",ASISTENCIA!W38&lt;&gt;"J",ASISTENCIA!W38&lt;&gt;"V",ASISTENCIA!W38&lt;&gt;"F",ASISTENCIA!W38&lt;&gt;""),SUMIF($F$13:$J$13,AC$13,$F39:$J39),"")</f>
        <v/>
      </c>
      <c r="AD39" s="168" t="str">
        <f>IF(AND(LEN($D39)&gt;0,SUMIF($F$13:$J$13,AD$13,$F39:$J39)&gt;0,ASISTENCIA!X38&lt;&gt;"X",ASISTENCIA!X38&lt;&gt;"L",ASISTENCIA!X38&lt;&gt;"J",ASISTENCIA!X38&lt;&gt;"V",ASISTENCIA!X38&lt;&gt;"F",ASISTENCIA!X38&lt;&gt;""),SUMIF($F$13:$J$13,AD$13,$F39:$J39),"")</f>
        <v/>
      </c>
      <c r="AE39" s="168" t="str">
        <f>IF(AND(LEN($D39)&gt;0,SUMIF($F$13:$J$13,AE$13,$F39:$J39)&gt;0,ASISTENCIA!Y38&lt;&gt;"X",ASISTENCIA!Y38&lt;&gt;"L",ASISTENCIA!Y38&lt;&gt;"J",ASISTENCIA!Y38&lt;&gt;"V",ASISTENCIA!Y38&lt;&gt;"F",ASISTENCIA!Y38&lt;&gt;""),SUMIF($F$13:$J$13,AE$13,$F39:$J39),"")</f>
        <v/>
      </c>
      <c r="AF39" s="168" t="str">
        <f>IF(AND(LEN($D39)&gt;0,SUMIF($F$13:$J$13,AF$13,$F39:$J39)&gt;0,ASISTENCIA!Z38&lt;&gt;"X",ASISTENCIA!Z38&lt;&gt;"L",ASISTENCIA!Z38&lt;&gt;"J",ASISTENCIA!Z38&lt;&gt;"V",ASISTENCIA!Z38&lt;&gt;"F",ASISTENCIA!Z38&lt;&gt;""),SUMIF($F$13:$J$13,AF$13,$F39:$J39),"")</f>
        <v/>
      </c>
      <c r="AG39" s="168" t="str">
        <f>IF(AND(LEN($D39)&gt;0,SUMIF($F$13:$J$13,AG$13,$F39:$J39)&gt;0,ASISTENCIA!AA38&lt;&gt;"X",ASISTENCIA!AA38&lt;&gt;"L",ASISTENCIA!AA38&lt;&gt;"J",ASISTENCIA!AA38&lt;&gt;"V",ASISTENCIA!AA38&lt;&gt;"F",ASISTENCIA!AA38&lt;&gt;""),SUMIF($F$13:$J$13,AG$13,$F39:$J39),"")</f>
        <v/>
      </c>
      <c r="AH39" s="168" t="str">
        <f>IF(AND(LEN($D39)&gt;0,SUMIF($F$13:$J$13,AH$13,$F39:$J39)&gt;0,ASISTENCIA!AB38&lt;&gt;"X",ASISTENCIA!AB38&lt;&gt;"L",ASISTENCIA!AB38&lt;&gt;"J",ASISTENCIA!AB38&lt;&gt;"V",ASISTENCIA!AB38&lt;&gt;"F",ASISTENCIA!AB38&lt;&gt;""),SUMIF($F$13:$J$13,AH$13,$F39:$J39),"")</f>
        <v/>
      </c>
      <c r="AI39" s="168" t="str">
        <f>IF(AND(LEN($D39)&gt;0,SUMIF($F$13:$J$13,AI$13,$F39:$J39)&gt;0,ASISTENCIA!AC38&lt;&gt;"X",ASISTENCIA!AC38&lt;&gt;"L",ASISTENCIA!AC38&lt;&gt;"J",ASISTENCIA!AC38&lt;&gt;"V",ASISTENCIA!AC38&lt;&gt;"F",ASISTENCIA!AC38&lt;&gt;""),SUMIF($F$13:$J$13,AI$13,$F39:$J39),"")</f>
        <v/>
      </c>
      <c r="AJ39" s="168" t="str">
        <f>IF(AND(LEN($D39)&gt;0,SUMIF($F$13:$J$13,AJ$13,$F39:$J39)&gt;0,ASISTENCIA!AD38&lt;&gt;"X",ASISTENCIA!AD38&lt;&gt;"L",ASISTENCIA!AD38&lt;&gt;"J",ASISTENCIA!AD38&lt;&gt;"V",ASISTENCIA!AD38&lt;&gt;"F",ASISTENCIA!AD38&lt;&gt;""),SUMIF($F$13:$J$13,AJ$13,$F39:$J39),"")</f>
        <v/>
      </c>
      <c r="AK39" s="168" t="str">
        <f>IF(AND(LEN($D39)&gt;0,SUMIF($F$13:$J$13,AK$13,$F39:$J39)&gt;0,ASISTENCIA!AE38&lt;&gt;"X",ASISTENCIA!AE38&lt;&gt;"L",ASISTENCIA!AE38&lt;&gt;"J",ASISTENCIA!AE38&lt;&gt;"V",ASISTENCIA!AE38&lt;&gt;"F",ASISTENCIA!AE38&lt;&gt;""),SUMIF($F$13:$J$13,AK$13,$F39:$J39),"")</f>
        <v/>
      </c>
      <c r="AL39" s="168" t="str">
        <f>IF(AND(LEN($D39)&gt;0,SUMIF($F$13:$J$13,AL$13,$F39:$J39)&gt;0,ASISTENCIA!AF38&lt;&gt;"X",ASISTENCIA!AF38&lt;&gt;"L",ASISTENCIA!AF38&lt;&gt;"J",ASISTENCIA!AF38&lt;&gt;"V",ASISTENCIA!AF38&lt;&gt;"F",ASISTENCIA!AF38&lt;&gt;""),SUMIF($F$13:$J$13,AL$13,$F39:$J39),"")</f>
        <v/>
      </c>
      <c r="AM39" s="168" t="str">
        <f>IF(AND(LEN($D39)&gt;0,SUMIF($F$13:$J$13,AM$13,$F39:$J39)&gt;0,ASISTENCIA!AG38&lt;&gt;"X",ASISTENCIA!AG38&lt;&gt;"L",ASISTENCIA!AG38&lt;&gt;"J",ASISTENCIA!AG38&lt;&gt;"V",ASISTENCIA!AG38&lt;&gt;"F",ASISTENCIA!AG38&lt;&gt;""),SUMIF($F$13:$J$13,AM$13,$F39:$J39),"")</f>
        <v/>
      </c>
      <c r="AN39" s="168" t="str">
        <f>IF(AND(LEN($D39)&gt;0,SUMIF($F$13:$J$13,AN$13,$F39:$J39)&gt;0,ASISTENCIA!AH38&lt;&gt;"X",ASISTENCIA!AH38&lt;&gt;"L",ASISTENCIA!AH38&lt;&gt;"J",ASISTENCIA!AH38&lt;&gt;"V",ASISTENCIA!AH38&lt;&gt;"F",ASISTENCIA!AH38&lt;&gt;""),SUMIF($F$13:$J$13,AN$13,$F39:$J39),"")</f>
        <v/>
      </c>
      <c r="AO39" s="168" t="str">
        <f>IF(AND(LEN($D39)&gt;0,SUMIF($F$13:$J$13,AO$13,$F39:$J39)&gt;0,ASISTENCIA!AI38&lt;&gt;"X",ASISTENCIA!AI38&lt;&gt;"L",ASISTENCIA!AI38&lt;&gt;"J",ASISTENCIA!AI38&lt;&gt;"V",ASISTENCIA!AI38&lt;&gt;"F",ASISTENCIA!AI38&lt;&gt;""),SUMIF($F$13:$J$13,AO$13,$F39:$J39),"")</f>
        <v/>
      </c>
      <c r="AP39" s="168" t="str">
        <f>IF(AND(LEN($D39)&gt;0,SUMIF($F$13:$J$13,AP$13,$F39:$J39)&gt;0,ASISTENCIA!AJ38&lt;&gt;"X",ASISTENCIA!AJ38&lt;&gt;"L",ASISTENCIA!AJ38&lt;&gt;"J",ASISTENCIA!AJ38&lt;&gt;"V",ASISTENCIA!AJ38&lt;&gt;"F",ASISTENCIA!AJ38&lt;&gt;""),SUMIF($F$13:$J$13,AP$13,$F39:$J39),"")</f>
        <v/>
      </c>
      <c r="AQ39" s="168" t="str">
        <f>IF(AND(LEN($D39)&gt;0,SUMIF($F$13:$J$13,AQ$13,$F39:$J39)&gt;0,ASISTENCIA!AK38&lt;&gt;"X",ASISTENCIA!AK38&lt;&gt;"L",ASISTENCIA!AK38&lt;&gt;"J",ASISTENCIA!AK38&lt;&gt;"V",ASISTENCIA!AK38&lt;&gt;"F",ASISTENCIA!AK38&lt;&gt;""),SUMIF($F$13:$J$13,AQ$13,$F39:$J39),"")</f>
        <v/>
      </c>
      <c r="AR39" s="168" t="str">
        <f>IF(AND(LEN($D39)&gt;0,SUMIF($F$13:$J$13,AR$13,$F39:$J39)&gt;0,ASISTENCIA!AL38&lt;&gt;"X",ASISTENCIA!AL38&lt;&gt;"L",ASISTENCIA!AL38&lt;&gt;"J",ASISTENCIA!AL38&lt;&gt;"V",ASISTENCIA!AL38&lt;&gt;"F",ASISTENCIA!AL38&lt;&gt;""),SUMIF($F$13:$J$13,AR$13,$F39:$J39),"")</f>
        <v/>
      </c>
      <c r="AS39" s="168" t="str">
        <f>IF(AND(LEN($D39)&gt;0,SUMIF($F$13:$J$13,AS$13,$F39:$J39)&gt;0,ASISTENCIA!AM38&lt;&gt;"X",ASISTENCIA!AM38&lt;&gt;"L",ASISTENCIA!AM38&lt;&gt;"J",ASISTENCIA!AM38&lt;&gt;"V",ASISTENCIA!AM38&lt;&gt;"F",ASISTENCIA!AM38&lt;&gt;""),SUMIF($F$13:$J$13,AS$13,$F39:$J39),"")</f>
        <v/>
      </c>
      <c r="AT39" s="182" t="str">
        <f t="shared" si="4"/>
        <v/>
      </c>
      <c r="AU39" s="10"/>
      <c r="AV39" s="10"/>
      <c r="AW39" s="10"/>
      <c r="AX39" s="168" t="str">
        <f>IF(AND(LEN($D39)&gt;0,SUMIF($F$13:$J$13,AX$13,$F39:$J39)&gt;0,ASISTENCIA!AU38&lt;&gt;"X",ASISTENCIA!AU38&lt;&gt;"L",ASISTENCIA!AU38&lt;&gt;"J",ASISTENCIA!AU38&lt;&gt;"F"),SUMIF($F$13:$J$13,AX$13,$F39:$J39),"")</f>
        <v/>
      </c>
      <c r="AY39" s="168" t="str">
        <f>IF(AND(LEN($D39)&gt;0,SUMIF($F$13:$J$13,AY$13,$F39:$J39)&gt;0,ASISTENCIA!AV38&lt;&gt;"X",ASISTENCIA!AV38&lt;&gt;"L",ASISTENCIA!AV38&lt;&gt;"J",ASISTENCIA!AV38&lt;&gt;"F"),SUMIF($F$13:$J$13,AY$13,$F39:$J39),"")</f>
        <v/>
      </c>
      <c r="AZ39" s="168" t="str">
        <f>IF(AND(LEN($D39)&gt;0,SUMIF($F$13:$J$13,AZ$13,$F39:$J39)&gt;0,ASISTENCIA!AW38&lt;&gt;"X",ASISTENCIA!AW38&lt;&gt;"L",ASISTENCIA!AW38&lt;&gt;"J",ASISTENCIA!AW38&lt;&gt;"F"),SUMIF($F$13:$J$13,AZ$13,$F39:$J39),"")</f>
        <v/>
      </c>
      <c r="BA39" s="168" t="str">
        <f>IF(AND(LEN($D39)&gt;0,SUMIF($F$13:$J$13,BA$13,$F39:$J39)&gt;0,ASISTENCIA!AX38&lt;&gt;"X",ASISTENCIA!AX38&lt;&gt;"L",ASISTENCIA!AX38&lt;&gt;"J",ASISTENCIA!AX38&lt;&gt;"F"),SUMIF($F$13:$J$13,BA$13,$F39:$J39),"")</f>
        <v/>
      </c>
      <c r="BB39" s="168" t="str">
        <f>IF(AND(LEN($D39)&gt;0,SUMIF($F$13:$J$13,BB$13,$F39:$J39)&gt;0,ASISTENCIA!AY38&lt;&gt;"X",ASISTENCIA!AY38&lt;&gt;"L",ASISTENCIA!AY38&lt;&gt;"J",ASISTENCIA!AY38&lt;&gt;"F"),SUMIF($F$13:$J$13,BB$13,$F39:$J39),"")</f>
        <v/>
      </c>
      <c r="BC39" s="168" t="str">
        <f>IF(AND(LEN($D39)&gt;0,SUMIF($F$13:$J$13,BC$13,$F39:$J39)&gt;0,ASISTENCIA!AZ38&lt;&gt;"X",ASISTENCIA!AZ38&lt;&gt;"L",ASISTENCIA!AZ38&lt;&gt;"J",ASISTENCIA!AZ38&lt;&gt;"F"),SUMIF($F$13:$J$13,BC$13,$F39:$J39),"")</f>
        <v/>
      </c>
      <c r="BD39" s="168" t="str">
        <f>IF(AND(LEN($D39)&gt;0,SUMIF($F$13:$J$13,BD$13,$F39:$J39)&gt;0,ASISTENCIA!BA38&lt;&gt;"X",ASISTENCIA!BA38&lt;&gt;"L",ASISTENCIA!BA38&lt;&gt;"J",ASISTENCIA!BA38&lt;&gt;"F"),SUMIF($F$13:$J$13,BD$13,$F39:$J39),"")</f>
        <v/>
      </c>
      <c r="BE39" s="168" t="str">
        <f>IF(AND(LEN($D39)&gt;0,SUMIF($F$13:$J$13,BE$13,$F39:$J39)&gt;0,ASISTENCIA!BB38&lt;&gt;"X",ASISTENCIA!BB38&lt;&gt;"L",ASISTENCIA!BB38&lt;&gt;"J",ASISTENCIA!BB38&lt;&gt;"F"),SUMIF($F$13:$J$13,BE$13,$F39:$J39),"")</f>
        <v/>
      </c>
      <c r="BF39" s="168" t="str">
        <f>IF(AND(LEN($D39)&gt;0,SUMIF($F$13:$J$13,BF$13,$F39:$J39)&gt;0,ASISTENCIA!#REF!&lt;&gt;"X",ASISTENCIA!#REF!&lt;&gt;"L",ASISTENCIA!#REF!&lt;&gt;"J",ASISTENCIA!#REF!&lt;&gt;"F"),SUMIF($F$13:$J$13,BF$13,$F39:$J39),"")</f>
        <v>#ERROR!</v>
      </c>
      <c r="BG39" s="168" t="str">
        <f>IF(AND(LEN($D39)&gt;0,SUMIF($F$13:$J$13,BG$13,$F39:$J39)&gt;0,ASISTENCIA!#REF!&lt;&gt;"X",ASISTENCIA!#REF!&lt;&gt;"L",ASISTENCIA!#REF!&lt;&gt;"J",ASISTENCIA!#REF!&lt;&gt;"F"),SUMIF($F$13:$J$13,BG$13,$F39:$J39),"")</f>
        <v>#ERROR!</v>
      </c>
      <c r="BH39" s="168" t="str">
        <f>IF(AND(LEN($D39)&gt;0,SUMIF($F$13:$J$13,BH$13,$F39:$J39)&gt;0,ASISTENCIA!BE38&lt;&gt;"X",ASISTENCIA!BE38&lt;&gt;"L",ASISTENCIA!BE38&lt;&gt;"J",ASISTENCIA!BE38&lt;&gt;"F"),SUMIF($F$13:$J$13,BH$13,$F39:$J39),"")</f>
        <v/>
      </c>
      <c r="BI39" s="168" t="str">
        <f>IF(AND(LEN($D39)&gt;0,SUMIF($F$13:$J$13,BI$13,$F39:$J39)&gt;0,ASISTENCIA!BF38&lt;&gt;"X",ASISTENCIA!BF38&lt;&gt;"L",ASISTENCIA!BF38&lt;&gt;"J",ASISTENCIA!BF38&lt;&gt;"F"),SUMIF($F$13:$J$13,BI$13,$F39:$J39),"")</f>
        <v/>
      </c>
      <c r="BJ39" s="168" t="str">
        <f>IF(AND(LEN($D39)&gt;0,SUMIF($F$13:$J$13,BJ$13,$F39:$J39)&gt;0,ASISTENCIA!BG38&lt;&gt;"X",ASISTENCIA!BG38&lt;&gt;"L",ASISTENCIA!BG38&lt;&gt;"J",ASISTENCIA!BG38&lt;&gt;"F"),SUMIF($F$13:$J$13,BJ$13,$F39:$J39),"")</f>
        <v/>
      </c>
      <c r="BK39" s="168" t="str">
        <f>IF(AND(LEN($D39)&gt;0,SUMIF($F$13:$J$13,BK$13,$F39:$J39)&gt;0,ASISTENCIA!BH38&lt;&gt;"X",ASISTENCIA!BH38&lt;&gt;"L",ASISTENCIA!BH38&lt;&gt;"J",ASISTENCIA!BH38&lt;&gt;"F"),SUMIF($F$13:$J$13,BK$13,$F39:$J39),"")</f>
        <v/>
      </c>
      <c r="BL39" s="168" t="str">
        <f>IF(AND(LEN($D39)&gt;0,SUMIF($F$13:$J$13,BL$13,$F39:$J39)&gt;0,ASISTENCIA!BI38&lt;&gt;"X",ASISTENCIA!BI38&lt;&gt;"L",ASISTENCIA!BI38&lt;&gt;"J",ASISTENCIA!BI38&lt;&gt;"F"),SUMIF($F$13:$J$13,BL$13,$F39:$J39),"")</f>
        <v/>
      </c>
      <c r="BM39" s="168" t="str">
        <f>IF(AND(LEN($D39)&gt;0,SUMIF($F$13:$J$13,BM$13,$F39:$J39)&gt;0,ASISTENCIA!BJ38&lt;&gt;"X",ASISTENCIA!BJ38&lt;&gt;"L",ASISTENCIA!BJ38&lt;&gt;"J",ASISTENCIA!BJ38&lt;&gt;"F"),SUMIF($F$13:$J$13,BM$13,$F39:$J39),"")</f>
        <v/>
      </c>
      <c r="BN39" s="168" t="str">
        <f>IF(AND(LEN($D39)&gt;0,SUMIF($F$13:$J$13,BN$13,$F39:$J39)&gt;0,ASISTENCIA!BK38&lt;&gt;"X",ASISTENCIA!BK38&lt;&gt;"L",ASISTENCIA!BK38&lt;&gt;"J",ASISTENCIA!BK38&lt;&gt;"F"),SUMIF($F$13:$J$13,BN$13,$F39:$J39),"")</f>
        <v/>
      </c>
      <c r="BO39" s="168" t="str">
        <f>IF(AND(LEN($D39)&gt;0,SUMIF($F$13:$J$13,BO$13,$F39:$J39)&gt;0,ASISTENCIA!BL38&lt;&gt;"X",ASISTENCIA!BL38&lt;&gt;"L",ASISTENCIA!BL38&lt;&gt;"J",ASISTENCIA!BL38&lt;&gt;"F"),SUMIF($F$13:$J$13,BO$13,$F39:$J39),"")</f>
        <v/>
      </c>
      <c r="BP39" s="168" t="str">
        <f>IF(AND(LEN($D39)&gt;0,SUMIF($F$13:$J$13,BP$13,$F39:$J39)&gt;0,ASISTENCIA!BM38&lt;&gt;"X",ASISTENCIA!BM38&lt;&gt;"L",ASISTENCIA!BM38&lt;&gt;"J",ASISTENCIA!BM38&lt;&gt;"F"),SUMIF($F$13:$J$13,BP$13,$F39:$J39),"")</f>
        <v/>
      </c>
      <c r="BQ39" s="168" t="str">
        <f>IF(AND(LEN($D39)&gt;0,SUMIF($F$13:$J$13,BQ$13,$F39:$J39)&gt;0,ASISTENCIA!BN38&lt;&gt;"X",ASISTENCIA!BN38&lt;&gt;"L",ASISTENCIA!BN38&lt;&gt;"J",ASISTENCIA!BN38&lt;&gt;"F"),SUMIF($F$13:$J$13,BQ$13,$F39:$J39),"")</f>
        <v/>
      </c>
      <c r="BR39" s="168" t="str">
        <f>IF(AND(LEN($D39)&gt;0,SUMIF($F$13:$J$13,BR$13,$F39:$J39)&gt;0,ASISTENCIA!BO38&lt;&gt;"X",ASISTENCIA!BO38&lt;&gt;"L",ASISTENCIA!BO38&lt;&gt;"J",ASISTENCIA!BO38&lt;&gt;"F"),SUMIF($F$13:$J$13,BR$13,$F39:$J39),"")</f>
        <v/>
      </c>
      <c r="BS39" s="168" t="str">
        <f>IF(AND(LEN($D39)&gt;0,SUMIF($F$13:$J$13,BS$13,$F39:$J39)&gt;0,ASISTENCIA!BP38&lt;&gt;"X",ASISTENCIA!BP38&lt;&gt;"L",ASISTENCIA!BP38&lt;&gt;"J",ASISTENCIA!BP38&lt;&gt;"F"),SUMIF($F$13:$J$13,BS$13,$F39:$J39),"")</f>
        <v/>
      </c>
      <c r="BT39" s="168" t="str">
        <f>IF(AND(LEN($D39)&gt;0,SUMIF($F$13:$J$13,BT$13,$F39:$J39)&gt;0,ASISTENCIA!BQ38&lt;&gt;"X",ASISTENCIA!BQ38&lt;&gt;"L",ASISTENCIA!BQ38&lt;&gt;"J",ASISTENCIA!BQ38&lt;&gt;"F"),SUMIF($F$13:$J$13,BT$13,$F39:$J39),"")</f>
        <v/>
      </c>
      <c r="BU39" s="168" t="str">
        <f>IF(AND(LEN($D39)&gt;0,SUMIF($F$13:$J$13,BU$13,$F39:$J39)&gt;0,ASISTENCIA!BR38&lt;&gt;"X",ASISTENCIA!BR38&lt;&gt;"L",ASISTENCIA!BR38&lt;&gt;"J",ASISTENCIA!BR38&lt;&gt;"F"),SUMIF($F$13:$J$13,BU$13,$F39:$J39),"")</f>
        <v/>
      </c>
      <c r="BV39" s="168" t="str">
        <f>IF(AND(LEN($D39)&gt;0,SUMIF($F$13:$J$13,BV$13,$F39:$J39)&gt;0,ASISTENCIA!BS38&lt;&gt;"X",ASISTENCIA!BS38&lt;&gt;"L",ASISTENCIA!BS38&lt;&gt;"J",ASISTENCIA!BS38&lt;&gt;"F"),SUMIF($F$13:$J$13,BV$13,$F39:$J39),"")</f>
        <v/>
      </c>
      <c r="BW39" s="168" t="str">
        <f>IF(AND(LEN($D39)&gt;0,SUMIF($F$13:$J$13,BW$13,$F39:$J39)&gt;0,ASISTENCIA!BT38&lt;&gt;"X",ASISTENCIA!BT38&lt;&gt;"L",ASISTENCIA!BT38&lt;&gt;"J",ASISTENCIA!BT38&lt;&gt;"F"),SUMIF($F$13:$J$13,BW$13,$F39:$J39),"")</f>
        <v/>
      </c>
      <c r="BX39" s="168" t="str">
        <f>IF(AND(LEN($D39)&gt;0,SUMIF($F$13:$J$13,BX$13,$F39:$J39)&gt;0,ASISTENCIA!BU38&lt;&gt;"X",ASISTENCIA!BU38&lt;&gt;"L",ASISTENCIA!BU38&lt;&gt;"J",ASISTENCIA!BU38&lt;&gt;"F"),SUMIF($F$13:$J$13,BX$13,$F39:$J39),"")</f>
        <v/>
      </c>
      <c r="BY39" s="168" t="str">
        <f>IF(AND(LEN($D39)&gt;0,SUMIF($F$13:$J$13,BY$13,$F39:$J39)&gt;0,ASISTENCIA!BV38&lt;&gt;"X",ASISTENCIA!BV38&lt;&gt;"L",ASISTENCIA!BV38&lt;&gt;"J",ASISTENCIA!BV38&lt;&gt;"F"),SUMIF($F$13:$J$13,BY$13,$F39:$J39),"")</f>
        <v/>
      </c>
      <c r="BZ39" s="168" t="str">
        <f>IF(AND(LEN($D39)&gt;0,SUMIF($F$13:$J$13,BZ$13,$F39:$J39)&gt;0,ASISTENCIA!BW38&lt;&gt;"X",ASISTENCIA!BW38&lt;&gt;"L",ASISTENCIA!BW38&lt;&gt;"J",ASISTENCIA!BW38&lt;&gt;"F"),SUMIF($F$13:$J$13,BZ$13,$F39:$J39),"")</f>
        <v/>
      </c>
      <c r="CA39" s="168" t="str">
        <f>IF(AND(LEN($D39)&gt;0,SUMIF($F$13:$J$13,CA$13,$F39:$J39)&gt;0,ASISTENCIA!BX38&lt;&gt;"X",ASISTENCIA!BX38&lt;&gt;"L",ASISTENCIA!BX38&lt;&gt;"J",ASISTENCIA!BX38&lt;&gt;"F"),SUMIF($F$13:$J$13,CA$13,$F39:$J39),"")</f>
        <v/>
      </c>
      <c r="CB39" s="168" t="str">
        <f>IF(AND(LEN($D39)&gt;0,SUMIF($F$13:$J$13,CB$13,$F39:$J39)&gt;0,ASISTENCIA!BY38&lt;&gt;"X",ASISTENCIA!BY38&lt;&gt;"L",ASISTENCIA!BY38&lt;&gt;"J",ASISTENCIA!BY38&lt;&gt;"F"),SUMIF($F$13:$J$13,CB$13,$F39:$J39),"")</f>
        <v/>
      </c>
      <c r="CC39" s="182" t="str">
        <f t="shared" si="5"/>
        <v>#ERROR!</v>
      </c>
      <c r="CD39" s="10"/>
    </row>
    <row r="40" ht="12.75" customHeight="1">
      <c r="A40" s="132" t="str">
        <f t="shared" si="6"/>
        <v/>
      </c>
      <c r="B40" s="183" t="str">
        <f>IF(LEN(C40)&gt;0,VLOOKUP($O$4,DATA!$A$1:$S$1,2,FALSE),"")</f>
        <v/>
      </c>
      <c r="C40" s="184" t="str">
        <f t="shared" si="1"/>
        <v/>
      </c>
      <c r="D40" s="136" t="str">
        <f>IF(LEN(ASISTENCIA!E39)&gt;0,ASISTENCIA!E39,"")</f>
        <v/>
      </c>
      <c r="E40" s="167" t="str">
        <f>IF(LEN(D40)&gt;0,ASISTENCIA!F39,"")</f>
        <v/>
      </c>
      <c r="F40" s="144"/>
      <c r="G40" s="144"/>
      <c r="H40" s="144"/>
      <c r="I40" s="144"/>
      <c r="J40" s="144"/>
      <c r="K40" s="168" t="str">
        <f t="shared" si="2"/>
        <v/>
      </c>
      <c r="L40" s="185"/>
      <c r="M40" s="168"/>
      <c r="N40" s="168" t="str">
        <f t="shared" si="3"/>
        <v>#ERROR!</v>
      </c>
      <c r="O40" s="168" t="str">
        <f>IF(AND(LEN($D40)&gt;0,SUMIF($F$13:$J$13,O$13,$F40:$J40)&gt;0,ASISTENCIA!I39&lt;&gt;"X",ASISTENCIA!I39&lt;&gt;"L",ASISTENCIA!I39&lt;&gt;"J",ASISTENCIA!I39&lt;&gt;"V",ASISTENCIA!I39&lt;&gt;"F",ASISTENCIA!I39&lt;&gt;""),SUMIF($F$13:$J$13,O$13,$F40:$J40),"")</f>
        <v/>
      </c>
      <c r="P40" s="168" t="str">
        <f>IF(AND(LEN($D40)&gt;0,SUMIF($F$13:$J$13,P$13,$F40:$J40)&gt;0,ASISTENCIA!J39&lt;&gt;"X",ASISTENCIA!J39&lt;&gt;"L",ASISTENCIA!J39&lt;&gt;"J",ASISTENCIA!J39&lt;&gt;"V",ASISTENCIA!J39&lt;&gt;"F",ASISTENCIA!J39&lt;&gt;""),SUMIF($F$13:$J$13,P$13,$F40:$J40),"")</f>
        <v/>
      </c>
      <c r="Q40" s="168" t="str">
        <f>IF(AND(LEN($D40)&gt;0,SUMIF($F$13:$J$13,Q$13,$F40:$J40)&gt;0,ASISTENCIA!K39&lt;&gt;"X",ASISTENCIA!K39&lt;&gt;"L",ASISTENCIA!K39&lt;&gt;"J",ASISTENCIA!K39&lt;&gt;"V",ASISTENCIA!K39&lt;&gt;"F",ASISTENCIA!K39&lt;&gt;""),SUMIF($F$13:$J$13,Q$13,$F40:$J40),"")</f>
        <v/>
      </c>
      <c r="R40" s="168" t="str">
        <f>IF(AND(LEN($D40)&gt;0,SUMIF($F$13:$J$13,R$13,$F40:$J40)&gt;0,ASISTENCIA!L39&lt;&gt;"X",ASISTENCIA!L39&lt;&gt;"L",ASISTENCIA!L39&lt;&gt;"J",ASISTENCIA!L39&lt;&gt;"V",ASISTENCIA!L39&lt;&gt;"F",ASISTENCIA!L39&lt;&gt;""),SUMIF($F$13:$J$13,R$13,$F40:$J40),"")</f>
        <v/>
      </c>
      <c r="S40" s="168" t="str">
        <f>IF(AND(LEN($D40)&gt;0,SUMIF($F$13:$J$13,S$13,$F40:$J40)&gt;0,ASISTENCIA!M39&lt;&gt;"X",ASISTENCIA!M39&lt;&gt;"L",ASISTENCIA!M39&lt;&gt;"J",ASISTENCIA!M39&lt;&gt;"V",ASISTENCIA!M39&lt;&gt;"F",ASISTENCIA!M39&lt;&gt;""),SUMIF($F$13:$J$13,S$13,$F40:$J40),"")</f>
        <v/>
      </c>
      <c r="T40" s="168" t="str">
        <f>IF(AND(LEN($D40)&gt;0,SUMIF($F$13:$J$13,T$13,$F40:$J40)&gt;0,ASISTENCIA!N39&lt;&gt;"X",ASISTENCIA!N39&lt;&gt;"L",ASISTENCIA!N39&lt;&gt;"J",ASISTENCIA!N39&lt;&gt;"V",ASISTENCIA!N39&lt;&gt;"F",ASISTENCIA!N39&lt;&gt;""),SUMIF($F$13:$J$13,T$13,$F40:$J40),"")</f>
        <v/>
      </c>
      <c r="U40" s="168" t="str">
        <f>IF(AND(LEN($D40)&gt;0,SUMIF($F$13:$J$13,U$13,$F40:$J40)&gt;0,ASISTENCIA!O39&lt;&gt;"X",ASISTENCIA!O39&lt;&gt;"L",ASISTENCIA!O39&lt;&gt;"J",ASISTENCIA!O39&lt;&gt;"V",ASISTENCIA!O39&lt;&gt;"F",ASISTENCIA!O39&lt;&gt;""),SUMIF($F$13:$J$13,U$13,$F40:$J40),"")</f>
        <v/>
      </c>
      <c r="V40" s="168" t="str">
        <f>IF(AND(LEN($D40)&gt;0,SUMIF($F$13:$J$13,V$13,$F40:$J40)&gt;0,ASISTENCIA!P39&lt;&gt;"X",ASISTENCIA!P39&lt;&gt;"L",ASISTENCIA!P39&lt;&gt;"J",ASISTENCIA!P39&lt;&gt;"V",ASISTENCIA!P39&lt;&gt;"F",ASISTENCIA!P39&lt;&gt;""),SUMIF($F$13:$J$13,V$13,$F40:$J40),"")</f>
        <v/>
      </c>
      <c r="W40" s="168" t="str">
        <f>IF(AND(LEN($D40)&gt;0,SUMIF($F$13:$J$13,W$13,$F40:$J40)&gt;0,ASISTENCIA!Q39&lt;&gt;"X",ASISTENCIA!Q39&lt;&gt;"L",ASISTENCIA!Q39&lt;&gt;"J",ASISTENCIA!Q39&lt;&gt;"V",ASISTENCIA!Q39&lt;&gt;"F",ASISTENCIA!Q39&lt;&gt;""),SUMIF($F$13:$J$13,W$13,$F40:$J40),"")</f>
        <v/>
      </c>
      <c r="X40" s="168" t="str">
        <f>IF(AND(LEN($D40)&gt;0,SUMIF($F$13:$J$13,X$13,$F40:$J40)&gt;0,ASISTENCIA!R39&lt;&gt;"X",ASISTENCIA!R39&lt;&gt;"L",ASISTENCIA!R39&lt;&gt;"J",ASISTENCIA!R39&lt;&gt;"V",ASISTENCIA!R39&lt;&gt;"F",ASISTENCIA!R39&lt;&gt;""),SUMIF($F$13:$J$13,X$13,$F40:$J40),"")</f>
        <v/>
      </c>
      <c r="Y40" s="168" t="str">
        <f>IF(AND(LEN($D40)&gt;0,SUMIF($F$13:$J$13,Y$13,$F40:$J40)&gt;0,ASISTENCIA!S39&lt;&gt;"X",ASISTENCIA!S39&lt;&gt;"L",ASISTENCIA!S39&lt;&gt;"J",ASISTENCIA!S39&lt;&gt;"V",ASISTENCIA!S39&lt;&gt;"F",ASISTENCIA!S39&lt;&gt;""),SUMIF($F$13:$J$13,Y$13,$F40:$J40),"")</f>
        <v/>
      </c>
      <c r="Z40" s="168" t="str">
        <f>IF(AND(LEN($D40)&gt;0,SUMIF($F$13:$J$13,Z$13,$F40:$J40)&gt;0,ASISTENCIA!T39&lt;&gt;"X",ASISTENCIA!T39&lt;&gt;"L",ASISTENCIA!T39&lt;&gt;"J",ASISTENCIA!T39&lt;&gt;"V",ASISTENCIA!T39&lt;&gt;"F",ASISTENCIA!T39&lt;&gt;""),SUMIF($F$13:$J$13,Z$13,$F40:$J40),"")</f>
        <v/>
      </c>
      <c r="AA40" s="168" t="str">
        <f>IF(AND(LEN($D40)&gt;0,SUMIF($F$13:$J$13,AA$13,$F40:$J40)&gt;0,ASISTENCIA!U39&lt;&gt;"X",ASISTENCIA!U39&lt;&gt;"L",ASISTENCIA!U39&lt;&gt;"J",ASISTENCIA!U39&lt;&gt;"V",ASISTENCIA!U39&lt;&gt;"F",ASISTENCIA!U39&lt;&gt;""),SUMIF($F$13:$J$13,AA$13,$F40:$J40),"")</f>
        <v/>
      </c>
      <c r="AB40" s="168" t="str">
        <f>IF(AND(LEN($D40)&gt;0,SUMIF($F$13:$J$13,AB$13,$F40:$J40)&gt;0,ASISTENCIA!V39&lt;&gt;"X",ASISTENCIA!V39&lt;&gt;"L",ASISTENCIA!V39&lt;&gt;"J",ASISTENCIA!V39&lt;&gt;"V",ASISTENCIA!V39&lt;&gt;"F",ASISTENCIA!V39&lt;&gt;""),SUMIF($F$13:$J$13,AB$13,$F40:$J40),"")</f>
        <v/>
      </c>
      <c r="AC40" s="168" t="str">
        <f>IF(AND(LEN($D40)&gt;0,SUMIF($F$13:$J$13,AC$13,$F40:$J40)&gt;0,ASISTENCIA!W39&lt;&gt;"X",ASISTENCIA!W39&lt;&gt;"L",ASISTENCIA!W39&lt;&gt;"J",ASISTENCIA!W39&lt;&gt;"V",ASISTENCIA!W39&lt;&gt;"F",ASISTENCIA!W39&lt;&gt;""),SUMIF($F$13:$J$13,AC$13,$F40:$J40),"")</f>
        <v/>
      </c>
      <c r="AD40" s="168" t="str">
        <f>IF(AND(LEN($D40)&gt;0,SUMIF($F$13:$J$13,AD$13,$F40:$J40)&gt;0,ASISTENCIA!X39&lt;&gt;"X",ASISTENCIA!X39&lt;&gt;"L",ASISTENCIA!X39&lt;&gt;"J",ASISTENCIA!X39&lt;&gt;"V",ASISTENCIA!X39&lt;&gt;"F",ASISTENCIA!X39&lt;&gt;""),SUMIF($F$13:$J$13,AD$13,$F40:$J40),"")</f>
        <v/>
      </c>
      <c r="AE40" s="168" t="str">
        <f>IF(AND(LEN($D40)&gt;0,SUMIF($F$13:$J$13,AE$13,$F40:$J40)&gt;0,ASISTENCIA!Y39&lt;&gt;"X",ASISTENCIA!Y39&lt;&gt;"L",ASISTENCIA!Y39&lt;&gt;"J",ASISTENCIA!Y39&lt;&gt;"V",ASISTENCIA!Y39&lt;&gt;"F",ASISTENCIA!Y39&lt;&gt;""),SUMIF($F$13:$J$13,AE$13,$F40:$J40),"")</f>
        <v/>
      </c>
      <c r="AF40" s="168" t="str">
        <f>IF(AND(LEN($D40)&gt;0,SUMIF($F$13:$J$13,AF$13,$F40:$J40)&gt;0,ASISTENCIA!Z39&lt;&gt;"X",ASISTENCIA!Z39&lt;&gt;"L",ASISTENCIA!Z39&lt;&gt;"J",ASISTENCIA!Z39&lt;&gt;"V",ASISTENCIA!Z39&lt;&gt;"F",ASISTENCIA!Z39&lt;&gt;""),SUMIF($F$13:$J$13,AF$13,$F40:$J40),"")</f>
        <v/>
      </c>
      <c r="AG40" s="168" t="str">
        <f>IF(AND(LEN($D40)&gt;0,SUMIF($F$13:$J$13,AG$13,$F40:$J40)&gt;0,ASISTENCIA!AA39&lt;&gt;"X",ASISTENCIA!AA39&lt;&gt;"L",ASISTENCIA!AA39&lt;&gt;"J",ASISTENCIA!AA39&lt;&gt;"V",ASISTENCIA!AA39&lt;&gt;"F",ASISTENCIA!AA39&lt;&gt;""),SUMIF($F$13:$J$13,AG$13,$F40:$J40),"")</f>
        <v/>
      </c>
      <c r="AH40" s="168" t="str">
        <f>IF(AND(LEN($D40)&gt;0,SUMIF($F$13:$J$13,AH$13,$F40:$J40)&gt;0,ASISTENCIA!AB39&lt;&gt;"X",ASISTENCIA!AB39&lt;&gt;"L",ASISTENCIA!AB39&lt;&gt;"J",ASISTENCIA!AB39&lt;&gt;"V",ASISTENCIA!AB39&lt;&gt;"F",ASISTENCIA!AB39&lt;&gt;""),SUMIF($F$13:$J$13,AH$13,$F40:$J40),"")</f>
        <v/>
      </c>
      <c r="AI40" s="168" t="str">
        <f>IF(AND(LEN($D40)&gt;0,SUMIF($F$13:$J$13,AI$13,$F40:$J40)&gt;0,ASISTENCIA!AC39&lt;&gt;"X",ASISTENCIA!AC39&lt;&gt;"L",ASISTENCIA!AC39&lt;&gt;"J",ASISTENCIA!AC39&lt;&gt;"V",ASISTENCIA!AC39&lt;&gt;"F",ASISTENCIA!AC39&lt;&gt;""),SUMIF($F$13:$J$13,AI$13,$F40:$J40),"")</f>
        <v/>
      </c>
      <c r="AJ40" s="168" t="str">
        <f>IF(AND(LEN($D40)&gt;0,SUMIF($F$13:$J$13,AJ$13,$F40:$J40)&gt;0,ASISTENCIA!AD39&lt;&gt;"X",ASISTENCIA!AD39&lt;&gt;"L",ASISTENCIA!AD39&lt;&gt;"J",ASISTENCIA!AD39&lt;&gt;"V",ASISTENCIA!AD39&lt;&gt;"F",ASISTENCIA!AD39&lt;&gt;""),SUMIF($F$13:$J$13,AJ$13,$F40:$J40),"")</f>
        <v/>
      </c>
      <c r="AK40" s="168" t="str">
        <f>IF(AND(LEN($D40)&gt;0,SUMIF($F$13:$J$13,AK$13,$F40:$J40)&gt;0,ASISTENCIA!AE39&lt;&gt;"X",ASISTENCIA!AE39&lt;&gt;"L",ASISTENCIA!AE39&lt;&gt;"J",ASISTENCIA!AE39&lt;&gt;"V",ASISTENCIA!AE39&lt;&gt;"F",ASISTENCIA!AE39&lt;&gt;""),SUMIF($F$13:$J$13,AK$13,$F40:$J40),"")</f>
        <v/>
      </c>
      <c r="AL40" s="168" t="str">
        <f>IF(AND(LEN($D40)&gt;0,SUMIF($F$13:$J$13,AL$13,$F40:$J40)&gt;0,ASISTENCIA!AF39&lt;&gt;"X",ASISTENCIA!AF39&lt;&gt;"L",ASISTENCIA!AF39&lt;&gt;"J",ASISTENCIA!AF39&lt;&gt;"V",ASISTENCIA!AF39&lt;&gt;"F",ASISTENCIA!AF39&lt;&gt;""),SUMIF($F$13:$J$13,AL$13,$F40:$J40),"")</f>
        <v/>
      </c>
      <c r="AM40" s="168" t="str">
        <f>IF(AND(LEN($D40)&gt;0,SUMIF($F$13:$J$13,AM$13,$F40:$J40)&gt;0,ASISTENCIA!AG39&lt;&gt;"X",ASISTENCIA!AG39&lt;&gt;"L",ASISTENCIA!AG39&lt;&gt;"J",ASISTENCIA!AG39&lt;&gt;"V",ASISTENCIA!AG39&lt;&gt;"F",ASISTENCIA!AG39&lt;&gt;""),SUMIF($F$13:$J$13,AM$13,$F40:$J40),"")</f>
        <v/>
      </c>
      <c r="AN40" s="168" t="str">
        <f>IF(AND(LEN($D40)&gt;0,SUMIF($F$13:$J$13,AN$13,$F40:$J40)&gt;0,ASISTENCIA!AH39&lt;&gt;"X",ASISTENCIA!AH39&lt;&gt;"L",ASISTENCIA!AH39&lt;&gt;"J",ASISTENCIA!AH39&lt;&gt;"V",ASISTENCIA!AH39&lt;&gt;"F",ASISTENCIA!AH39&lt;&gt;""),SUMIF($F$13:$J$13,AN$13,$F40:$J40),"")</f>
        <v/>
      </c>
      <c r="AO40" s="168" t="str">
        <f>IF(AND(LEN($D40)&gt;0,SUMIF($F$13:$J$13,AO$13,$F40:$J40)&gt;0,ASISTENCIA!AI39&lt;&gt;"X",ASISTENCIA!AI39&lt;&gt;"L",ASISTENCIA!AI39&lt;&gt;"J",ASISTENCIA!AI39&lt;&gt;"V",ASISTENCIA!AI39&lt;&gt;"F",ASISTENCIA!AI39&lt;&gt;""),SUMIF($F$13:$J$13,AO$13,$F40:$J40),"")</f>
        <v/>
      </c>
      <c r="AP40" s="168" t="str">
        <f>IF(AND(LEN($D40)&gt;0,SUMIF($F$13:$J$13,AP$13,$F40:$J40)&gt;0,ASISTENCIA!AJ39&lt;&gt;"X",ASISTENCIA!AJ39&lt;&gt;"L",ASISTENCIA!AJ39&lt;&gt;"J",ASISTENCIA!AJ39&lt;&gt;"V",ASISTENCIA!AJ39&lt;&gt;"F",ASISTENCIA!AJ39&lt;&gt;""),SUMIF($F$13:$J$13,AP$13,$F40:$J40),"")</f>
        <v/>
      </c>
      <c r="AQ40" s="168" t="str">
        <f>IF(AND(LEN($D40)&gt;0,SUMIF($F$13:$J$13,AQ$13,$F40:$J40)&gt;0,ASISTENCIA!AK39&lt;&gt;"X",ASISTENCIA!AK39&lt;&gt;"L",ASISTENCIA!AK39&lt;&gt;"J",ASISTENCIA!AK39&lt;&gt;"V",ASISTENCIA!AK39&lt;&gt;"F",ASISTENCIA!AK39&lt;&gt;""),SUMIF($F$13:$J$13,AQ$13,$F40:$J40),"")</f>
        <v/>
      </c>
      <c r="AR40" s="168" t="str">
        <f>IF(AND(LEN($D40)&gt;0,SUMIF($F$13:$J$13,AR$13,$F40:$J40)&gt;0,ASISTENCIA!AL39&lt;&gt;"X",ASISTENCIA!AL39&lt;&gt;"L",ASISTENCIA!AL39&lt;&gt;"J",ASISTENCIA!AL39&lt;&gt;"V",ASISTENCIA!AL39&lt;&gt;"F",ASISTENCIA!AL39&lt;&gt;""),SUMIF($F$13:$J$13,AR$13,$F40:$J40),"")</f>
        <v/>
      </c>
      <c r="AS40" s="168" t="str">
        <f>IF(AND(LEN($D40)&gt;0,SUMIF($F$13:$J$13,AS$13,$F40:$J40)&gt;0,ASISTENCIA!AM39&lt;&gt;"X",ASISTENCIA!AM39&lt;&gt;"L",ASISTENCIA!AM39&lt;&gt;"J",ASISTENCIA!AM39&lt;&gt;"V",ASISTENCIA!AM39&lt;&gt;"F",ASISTENCIA!AM39&lt;&gt;""),SUMIF($F$13:$J$13,AS$13,$F40:$J40),"")</f>
        <v/>
      </c>
      <c r="AT40" s="182" t="str">
        <f t="shared" si="4"/>
        <v/>
      </c>
      <c r="AU40" s="10"/>
      <c r="AV40" s="10"/>
      <c r="AW40" s="10"/>
      <c r="AX40" s="168" t="str">
        <f>IF(AND(LEN($D40)&gt;0,SUMIF($F$13:$J$13,AX$13,$F40:$J40)&gt;0,ASISTENCIA!AU39&lt;&gt;"X",ASISTENCIA!AU39&lt;&gt;"L",ASISTENCIA!AU39&lt;&gt;"J",ASISTENCIA!AU39&lt;&gt;"F"),SUMIF($F$13:$J$13,AX$13,$F40:$J40),"")</f>
        <v/>
      </c>
      <c r="AY40" s="168" t="str">
        <f>IF(AND(LEN($D40)&gt;0,SUMIF($F$13:$J$13,AY$13,$F40:$J40)&gt;0,ASISTENCIA!AV39&lt;&gt;"X",ASISTENCIA!AV39&lt;&gt;"L",ASISTENCIA!AV39&lt;&gt;"J",ASISTENCIA!AV39&lt;&gt;"F"),SUMIF($F$13:$J$13,AY$13,$F40:$J40),"")</f>
        <v/>
      </c>
      <c r="AZ40" s="168" t="str">
        <f>IF(AND(LEN($D40)&gt;0,SUMIF($F$13:$J$13,AZ$13,$F40:$J40)&gt;0,ASISTENCIA!AW39&lt;&gt;"X",ASISTENCIA!AW39&lt;&gt;"L",ASISTENCIA!AW39&lt;&gt;"J",ASISTENCIA!AW39&lt;&gt;"F"),SUMIF($F$13:$J$13,AZ$13,$F40:$J40),"")</f>
        <v/>
      </c>
      <c r="BA40" s="168" t="str">
        <f>IF(AND(LEN($D40)&gt;0,SUMIF($F$13:$J$13,BA$13,$F40:$J40)&gt;0,ASISTENCIA!AX39&lt;&gt;"X",ASISTENCIA!AX39&lt;&gt;"L",ASISTENCIA!AX39&lt;&gt;"J",ASISTENCIA!AX39&lt;&gt;"F"),SUMIF($F$13:$J$13,BA$13,$F40:$J40),"")</f>
        <v/>
      </c>
      <c r="BB40" s="168" t="str">
        <f>IF(AND(LEN($D40)&gt;0,SUMIF($F$13:$J$13,BB$13,$F40:$J40)&gt;0,ASISTENCIA!AY39&lt;&gt;"X",ASISTENCIA!AY39&lt;&gt;"L",ASISTENCIA!AY39&lt;&gt;"J",ASISTENCIA!AY39&lt;&gt;"F"),SUMIF($F$13:$J$13,BB$13,$F40:$J40),"")</f>
        <v/>
      </c>
      <c r="BC40" s="168" t="str">
        <f>IF(AND(LEN($D40)&gt;0,SUMIF($F$13:$J$13,BC$13,$F40:$J40)&gt;0,ASISTENCIA!AZ39&lt;&gt;"X",ASISTENCIA!AZ39&lt;&gt;"L",ASISTENCIA!AZ39&lt;&gt;"J",ASISTENCIA!AZ39&lt;&gt;"F"),SUMIF($F$13:$J$13,BC$13,$F40:$J40),"")</f>
        <v/>
      </c>
      <c r="BD40" s="168" t="str">
        <f>IF(AND(LEN($D40)&gt;0,SUMIF($F$13:$J$13,BD$13,$F40:$J40)&gt;0,ASISTENCIA!BA39&lt;&gt;"X",ASISTENCIA!BA39&lt;&gt;"L",ASISTENCIA!BA39&lt;&gt;"J",ASISTENCIA!BA39&lt;&gt;"F"),SUMIF($F$13:$J$13,BD$13,$F40:$J40),"")</f>
        <v/>
      </c>
      <c r="BE40" s="168" t="str">
        <f>IF(AND(LEN($D40)&gt;0,SUMIF($F$13:$J$13,BE$13,$F40:$J40)&gt;0,ASISTENCIA!BB39&lt;&gt;"X",ASISTENCIA!BB39&lt;&gt;"L",ASISTENCIA!BB39&lt;&gt;"J",ASISTENCIA!BB39&lt;&gt;"F"),SUMIF($F$13:$J$13,BE$13,$F40:$J40),"")</f>
        <v/>
      </c>
      <c r="BF40" s="168" t="str">
        <f>IF(AND(LEN($D40)&gt;0,SUMIF($F$13:$J$13,BF$13,$F40:$J40)&gt;0,ASISTENCIA!#REF!&lt;&gt;"X",ASISTENCIA!#REF!&lt;&gt;"L",ASISTENCIA!#REF!&lt;&gt;"J",ASISTENCIA!#REF!&lt;&gt;"F"),SUMIF($F$13:$J$13,BF$13,$F40:$J40),"")</f>
        <v>#ERROR!</v>
      </c>
      <c r="BG40" s="168" t="str">
        <f>IF(AND(LEN($D40)&gt;0,SUMIF($F$13:$J$13,BG$13,$F40:$J40)&gt;0,ASISTENCIA!#REF!&lt;&gt;"X",ASISTENCIA!#REF!&lt;&gt;"L",ASISTENCIA!#REF!&lt;&gt;"J",ASISTENCIA!#REF!&lt;&gt;"F"),SUMIF($F$13:$J$13,BG$13,$F40:$J40),"")</f>
        <v>#ERROR!</v>
      </c>
      <c r="BH40" s="168" t="str">
        <f>IF(AND(LEN($D40)&gt;0,SUMIF($F$13:$J$13,BH$13,$F40:$J40)&gt;0,ASISTENCIA!BE39&lt;&gt;"X",ASISTENCIA!BE39&lt;&gt;"L",ASISTENCIA!BE39&lt;&gt;"J",ASISTENCIA!BE39&lt;&gt;"F"),SUMIF($F$13:$J$13,BH$13,$F40:$J40),"")</f>
        <v/>
      </c>
      <c r="BI40" s="168" t="str">
        <f>IF(AND(LEN($D40)&gt;0,SUMIF($F$13:$J$13,BI$13,$F40:$J40)&gt;0,ASISTENCIA!BF39&lt;&gt;"X",ASISTENCIA!BF39&lt;&gt;"L",ASISTENCIA!BF39&lt;&gt;"J",ASISTENCIA!BF39&lt;&gt;"F"),SUMIF($F$13:$J$13,BI$13,$F40:$J40),"")</f>
        <v/>
      </c>
      <c r="BJ40" s="168" t="str">
        <f>IF(AND(LEN($D40)&gt;0,SUMIF($F$13:$J$13,BJ$13,$F40:$J40)&gt;0,ASISTENCIA!BG39&lt;&gt;"X",ASISTENCIA!BG39&lt;&gt;"L",ASISTENCIA!BG39&lt;&gt;"J",ASISTENCIA!BG39&lt;&gt;"F"),SUMIF($F$13:$J$13,BJ$13,$F40:$J40),"")</f>
        <v/>
      </c>
      <c r="BK40" s="168" t="str">
        <f>IF(AND(LEN($D40)&gt;0,SUMIF($F$13:$J$13,BK$13,$F40:$J40)&gt;0,ASISTENCIA!BH39&lt;&gt;"X",ASISTENCIA!BH39&lt;&gt;"L",ASISTENCIA!BH39&lt;&gt;"J",ASISTENCIA!BH39&lt;&gt;"F"),SUMIF($F$13:$J$13,BK$13,$F40:$J40),"")</f>
        <v/>
      </c>
      <c r="BL40" s="168" t="str">
        <f>IF(AND(LEN($D40)&gt;0,SUMIF($F$13:$J$13,BL$13,$F40:$J40)&gt;0,ASISTENCIA!BI39&lt;&gt;"X",ASISTENCIA!BI39&lt;&gt;"L",ASISTENCIA!BI39&lt;&gt;"J",ASISTENCIA!BI39&lt;&gt;"F"),SUMIF($F$13:$J$13,BL$13,$F40:$J40),"")</f>
        <v/>
      </c>
      <c r="BM40" s="168" t="str">
        <f>IF(AND(LEN($D40)&gt;0,SUMIF($F$13:$J$13,BM$13,$F40:$J40)&gt;0,ASISTENCIA!BJ39&lt;&gt;"X",ASISTENCIA!BJ39&lt;&gt;"L",ASISTENCIA!BJ39&lt;&gt;"J",ASISTENCIA!BJ39&lt;&gt;"F"),SUMIF($F$13:$J$13,BM$13,$F40:$J40),"")</f>
        <v/>
      </c>
      <c r="BN40" s="168" t="str">
        <f>IF(AND(LEN($D40)&gt;0,SUMIF($F$13:$J$13,BN$13,$F40:$J40)&gt;0,ASISTENCIA!BK39&lt;&gt;"X",ASISTENCIA!BK39&lt;&gt;"L",ASISTENCIA!BK39&lt;&gt;"J",ASISTENCIA!BK39&lt;&gt;"F"),SUMIF($F$13:$J$13,BN$13,$F40:$J40),"")</f>
        <v/>
      </c>
      <c r="BO40" s="168" t="str">
        <f>IF(AND(LEN($D40)&gt;0,SUMIF($F$13:$J$13,BO$13,$F40:$J40)&gt;0,ASISTENCIA!BL39&lt;&gt;"X",ASISTENCIA!BL39&lt;&gt;"L",ASISTENCIA!BL39&lt;&gt;"J",ASISTENCIA!BL39&lt;&gt;"F"),SUMIF($F$13:$J$13,BO$13,$F40:$J40),"")</f>
        <v/>
      </c>
      <c r="BP40" s="168" t="str">
        <f>IF(AND(LEN($D40)&gt;0,SUMIF($F$13:$J$13,BP$13,$F40:$J40)&gt;0,ASISTENCIA!BM39&lt;&gt;"X",ASISTENCIA!BM39&lt;&gt;"L",ASISTENCIA!BM39&lt;&gt;"J",ASISTENCIA!BM39&lt;&gt;"F"),SUMIF($F$13:$J$13,BP$13,$F40:$J40),"")</f>
        <v/>
      </c>
      <c r="BQ40" s="168" t="str">
        <f>IF(AND(LEN($D40)&gt;0,SUMIF($F$13:$J$13,BQ$13,$F40:$J40)&gt;0,ASISTENCIA!BN39&lt;&gt;"X",ASISTENCIA!BN39&lt;&gt;"L",ASISTENCIA!BN39&lt;&gt;"J",ASISTENCIA!BN39&lt;&gt;"F"),SUMIF($F$13:$J$13,BQ$13,$F40:$J40),"")</f>
        <v/>
      </c>
      <c r="BR40" s="168" t="str">
        <f>IF(AND(LEN($D40)&gt;0,SUMIF($F$13:$J$13,BR$13,$F40:$J40)&gt;0,ASISTENCIA!BO39&lt;&gt;"X",ASISTENCIA!BO39&lt;&gt;"L",ASISTENCIA!BO39&lt;&gt;"J",ASISTENCIA!BO39&lt;&gt;"F"),SUMIF($F$13:$J$13,BR$13,$F40:$J40),"")</f>
        <v/>
      </c>
      <c r="BS40" s="168" t="str">
        <f>IF(AND(LEN($D40)&gt;0,SUMIF($F$13:$J$13,BS$13,$F40:$J40)&gt;0,ASISTENCIA!BP39&lt;&gt;"X",ASISTENCIA!BP39&lt;&gt;"L",ASISTENCIA!BP39&lt;&gt;"J",ASISTENCIA!BP39&lt;&gt;"F"),SUMIF($F$13:$J$13,BS$13,$F40:$J40),"")</f>
        <v/>
      </c>
      <c r="BT40" s="168" t="str">
        <f>IF(AND(LEN($D40)&gt;0,SUMIF($F$13:$J$13,BT$13,$F40:$J40)&gt;0,ASISTENCIA!BQ39&lt;&gt;"X",ASISTENCIA!BQ39&lt;&gt;"L",ASISTENCIA!BQ39&lt;&gt;"J",ASISTENCIA!BQ39&lt;&gt;"F"),SUMIF($F$13:$J$13,BT$13,$F40:$J40),"")</f>
        <v/>
      </c>
      <c r="BU40" s="168" t="str">
        <f>IF(AND(LEN($D40)&gt;0,SUMIF($F$13:$J$13,BU$13,$F40:$J40)&gt;0,ASISTENCIA!BR39&lt;&gt;"X",ASISTENCIA!BR39&lt;&gt;"L",ASISTENCIA!BR39&lt;&gt;"J",ASISTENCIA!BR39&lt;&gt;"F"),SUMIF($F$13:$J$13,BU$13,$F40:$J40),"")</f>
        <v/>
      </c>
      <c r="BV40" s="168" t="str">
        <f>IF(AND(LEN($D40)&gt;0,SUMIF($F$13:$J$13,BV$13,$F40:$J40)&gt;0,ASISTENCIA!BS39&lt;&gt;"X",ASISTENCIA!BS39&lt;&gt;"L",ASISTENCIA!BS39&lt;&gt;"J",ASISTENCIA!BS39&lt;&gt;"F"),SUMIF($F$13:$J$13,BV$13,$F40:$J40),"")</f>
        <v/>
      </c>
      <c r="BW40" s="168" t="str">
        <f>IF(AND(LEN($D40)&gt;0,SUMIF($F$13:$J$13,BW$13,$F40:$J40)&gt;0,ASISTENCIA!BT39&lt;&gt;"X",ASISTENCIA!BT39&lt;&gt;"L",ASISTENCIA!BT39&lt;&gt;"J",ASISTENCIA!BT39&lt;&gt;"F"),SUMIF($F$13:$J$13,BW$13,$F40:$J40),"")</f>
        <v/>
      </c>
      <c r="BX40" s="168" t="str">
        <f>IF(AND(LEN($D40)&gt;0,SUMIF($F$13:$J$13,BX$13,$F40:$J40)&gt;0,ASISTENCIA!BU39&lt;&gt;"X",ASISTENCIA!BU39&lt;&gt;"L",ASISTENCIA!BU39&lt;&gt;"J",ASISTENCIA!BU39&lt;&gt;"F"),SUMIF($F$13:$J$13,BX$13,$F40:$J40),"")</f>
        <v/>
      </c>
      <c r="BY40" s="168" t="str">
        <f>IF(AND(LEN($D40)&gt;0,SUMIF($F$13:$J$13,BY$13,$F40:$J40)&gt;0,ASISTENCIA!BV39&lt;&gt;"X",ASISTENCIA!BV39&lt;&gt;"L",ASISTENCIA!BV39&lt;&gt;"J",ASISTENCIA!BV39&lt;&gt;"F"),SUMIF($F$13:$J$13,BY$13,$F40:$J40),"")</f>
        <v/>
      </c>
      <c r="BZ40" s="168" t="str">
        <f>IF(AND(LEN($D40)&gt;0,SUMIF($F$13:$J$13,BZ$13,$F40:$J40)&gt;0,ASISTENCIA!BW39&lt;&gt;"X",ASISTENCIA!BW39&lt;&gt;"L",ASISTENCIA!BW39&lt;&gt;"J",ASISTENCIA!BW39&lt;&gt;"F"),SUMIF($F$13:$J$13,BZ$13,$F40:$J40),"")</f>
        <v/>
      </c>
      <c r="CA40" s="168" t="str">
        <f>IF(AND(LEN($D40)&gt;0,SUMIF($F$13:$J$13,CA$13,$F40:$J40)&gt;0,ASISTENCIA!BX39&lt;&gt;"X",ASISTENCIA!BX39&lt;&gt;"L",ASISTENCIA!BX39&lt;&gt;"J",ASISTENCIA!BX39&lt;&gt;"F"),SUMIF($F$13:$J$13,CA$13,$F40:$J40),"")</f>
        <v/>
      </c>
      <c r="CB40" s="168" t="str">
        <f>IF(AND(LEN($D40)&gt;0,SUMIF($F$13:$J$13,CB$13,$F40:$J40)&gt;0,ASISTENCIA!BY39&lt;&gt;"X",ASISTENCIA!BY39&lt;&gt;"L",ASISTENCIA!BY39&lt;&gt;"J",ASISTENCIA!BY39&lt;&gt;"F"),SUMIF($F$13:$J$13,CB$13,$F40:$J40),"")</f>
        <v/>
      </c>
      <c r="CC40" s="182" t="str">
        <f t="shared" si="5"/>
        <v>#ERROR!</v>
      </c>
      <c r="CD40" s="10"/>
    </row>
    <row r="41" ht="12.75" customHeight="1">
      <c r="A41" s="132" t="str">
        <f t="shared" si="6"/>
        <v/>
      </c>
      <c r="B41" s="183" t="str">
        <f>IF(LEN(C41)&gt;0,VLOOKUP($O$4,DATA!$A$1:$S$1,2,FALSE),"")</f>
        <v/>
      </c>
      <c r="C41" s="184" t="str">
        <f t="shared" si="1"/>
        <v/>
      </c>
      <c r="D41" s="136" t="str">
        <f>IF(LEN(ASISTENCIA!E40)&gt;0,ASISTENCIA!E40,"")</f>
        <v/>
      </c>
      <c r="E41" s="167" t="str">
        <f>IF(LEN(D41)&gt;0,ASISTENCIA!F40,"")</f>
        <v/>
      </c>
      <c r="F41" s="144"/>
      <c r="G41" s="144"/>
      <c r="H41" s="144"/>
      <c r="I41" s="144"/>
      <c r="J41" s="144"/>
      <c r="K41" s="168" t="str">
        <f t="shared" si="2"/>
        <v/>
      </c>
      <c r="L41" s="185"/>
      <c r="M41" s="168"/>
      <c r="N41" s="168" t="str">
        <f t="shared" si="3"/>
        <v>#ERROR!</v>
      </c>
      <c r="O41" s="168" t="str">
        <f>IF(AND(LEN($D41)&gt;0,SUMIF($F$13:$J$13,O$13,$F41:$J41)&gt;0,ASISTENCIA!I40&lt;&gt;"X",ASISTENCIA!I40&lt;&gt;"L",ASISTENCIA!I40&lt;&gt;"J",ASISTENCIA!I40&lt;&gt;"V",ASISTENCIA!I40&lt;&gt;"F",ASISTENCIA!I40&lt;&gt;""),SUMIF($F$13:$J$13,O$13,$F41:$J41),"")</f>
        <v/>
      </c>
      <c r="P41" s="168" t="str">
        <f>IF(AND(LEN($D41)&gt;0,SUMIF($F$13:$J$13,P$13,$F41:$J41)&gt;0,ASISTENCIA!J40&lt;&gt;"X",ASISTENCIA!J40&lt;&gt;"L",ASISTENCIA!J40&lt;&gt;"J",ASISTENCIA!J40&lt;&gt;"V",ASISTENCIA!J40&lt;&gt;"F",ASISTENCIA!J40&lt;&gt;""),SUMIF($F$13:$J$13,P$13,$F41:$J41),"")</f>
        <v/>
      </c>
      <c r="Q41" s="168" t="str">
        <f>IF(AND(LEN($D41)&gt;0,SUMIF($F$13:$J$13,Q$13,$F41:$J41)&gt;0,ASISTENCIA!K40&lt;&gt;"X",ASISTENCIA!K40&lt;&gt;"L",ASISTENCIA!K40&lt;&gt;"J",ASISTENCIA!K40&lt;&gt;"V",ASISTENCIA!K40&lt;&gt;"F",ASISTENCIA!K40&lt;&gt;""),SUMIF($F$13:$J$13,Q$13,$F41:$J41),"")</f>
        <v/>
      </c>
      <c r="R41" s="168" t="str">
        <f>IF(AND(LEN($D41)&gt;0,SUMIF($F$13:$J$13,R$13,$F41:$J41)&gt;0,ASISTENCIA!L40&lt;&gt;"X",ASISTENCIA!L40&lt;&gt;"L",ASISTENCIA!L40&lt;&gt;"J",ASISTENCIA!L40&lt;&gt;"V",ASISTENCIA!L40&lt;&gt;"F",ASISTENCIA!L40&lt;&gt;""),SUMIF($F$13:$J$13,R$13,$F41:$J41),"")</f>
        <v/>
      </c>
      <c r="S41" s="168" t="str">
        <f>IF(AND(LEN($D41)&gt;0,SUMIF($F$13:$J$13,S$13,$F41:$J41)&gt;0,ASISTENCIA!M40&lt;&gt;"X",ASISTENCIA!M40&lt;&gt;"L",ASISTENCIA!M40&lt;&gt;"J",ASISTENCIA!M40&lt;&gt;"V",ASISTENCIA!M40&lt;&gt;"F",ASISTENCIA!M40&lt;&gt;""),SUMIF($F$13:$J$13,S$13,$F41:$J41),"")</f>
        <v/>
      </c>
      <c r="T41" s="168" t="str">
        <f>IF(AND(LEN($D41)&gt;0,SUMIF($F$13:$J$13,T$13,$F41:$J41)&gt;0,ASISTENCIA!N40&lt;&gt;"X",ASISTENCIA!N40&lt;&gt;"L",ASISTENCIA!N40&lt;&gt;"J",ASISTENCIA!N40&lt;&gt;"V",ASISTENCIA!N40&lt;&gt;"F",ASISTENCIA!N40&lt;&gt;""),SUMIF($F$13:$J$13,T$13,$F41:$J41),"")</f>
        <v/>
      </c>
      <c r="U41" s="168" t="str">
        <f>IF(AND(LEN($D41)&gt;0,SUMIF($F$13:$J$13,U$13,$F41:$J41)&gt;0,ASISTENCIA!O40&lt;&gt;"X",ASISTENCIA!O40&lt;&gt;"L",ASISTENCIA!O40&lt;&gt;"J",ASISTENCIA!O40&lt;&gt;"V",ASISTENCIA!O40&lt;&gt;"F",ASISTENCIA!O40&lt;&gt;""),SUMIF($F$13:$J$13,U$13,$F41:$J41),"")</f>
        <v/>
      </c>
      <c r="V41" s="168" t="str">
        <f>IF(AND(LEN($D41)&gt;0,SUMIF($F$13:$J$13,V$13,$F41:$J41)&gt;0,ASISTENCIA!P40&lt;&gt;"X",ASISTENCIA!P40&lt;&gt;"L",ASISTENCIA!P40&lt;&gt;"J",ASISTENCIA!P40&lt;&gt;"V",ASISTENCIA!P40&lt;&gt;"F",ASISTENCIA!P40&lt;&gt;""),SUMIF($F$13:$J$13,V$13,$F41:$J41),"")</f>
        <v/>
      </c>
      <c r="W41" s="168" t="str">
        <f>IF(AND(LEN($D41)&gt;0,SUMIF($F$13:$J$13,W$13,$F41:$J41)&gt;0,ASISTENCIA!Q40&lt;&gt;"X",ASISTENCIA!Q40&lt;&gt;"L",ASISTENCIA!Q40&lt;&gt;"J",ASISTENCIA!Q40&lt;&gt;"V",ASISTENCIA!Q40&lt;&gt;"F",ASISTENCIA!Q40&lt;&gt;""),SUMIF($F$13:$J$13,W$13,$F41:$J41),"")</f>
        <v/>
      </c>
      <c r="X41" s="168" t="str">
        <f>IF(AND(LEN($D41)&gt;0,SUMIF($F$13:$J$13,X$13,$F41:$J41)&gt;0,ASISTENCIA!R40&lt;&gt;"X",ASISTENCIA!R40&lt;&gt;"L",ASISTENCIA!R40&lt;&gt;"J",ASISTENCIA!R40&lt;&gt;"V",ASISTENCIA!R40&lt;&gt;"F",ASISTENCIA!R40&lt;&gt;""),SUMIF($F$13:$J$13,X$13,$F41:$J41),"")</f>
        <v/>
      </c>
      <c r="Y41" s="168" t="str">
        <f>IF(AND(LEN($D41)&gt;0,SUMIF($F$13:$J$13,Y$13,$F41:$J41)&gt;0,ASISTENCIA!S40&lt;&gt;"X",ASISTENCIA!S40&lt;&gt;"L",ASISTENCIA!S40&lt;&gt;"J",ASISTENCIA!S40&lt;&gt;"V",ASISTENCIA!S40&lt;&gt;"F",ASISTENCIA!S40&lt;&gt;""),SUMIF($F$13:$J$13,Y$13,$F41:$J41),"")</f>
        <v/>
      </c>
      <c r="Z41" s="168" t="str">
        <f>IF(AND(LEN($D41)&gt;0,SUMIF($F$13:$J$13,Z$13,$F41:$J41)&gt;0,ASISTENCIA!T40&lt;&gt;"X",ASISTENCIA!T40&lt;&gt;"L",ASISTENCIA!T40&lt;&gt;"J",ASISTENCIA!T40&lt;&gt;"V",ASISTENCIA!T40&lt;&gt;"F",ASISTENCIA!T40&lt;&gt;""),SUMIF($F$13:$J$13,Z$13,$F41:$J41),"")</f>
        <v/>
      </c>
      <c r="AA41" s="168" t="str">
        <f>IF(AND(LEN($D41)&gt;0,SUMIF($F$13:$J$13,AA$13,$F41:$J41)&gt;0,ASISTENCIA!U40&lt;&gt;"X",ASISTENCIA!U40&lt;&gt;"L",ASISTENCIA!U40&lt;&gt;"J",ASISTENCIA!U40&lt;&gt;"V",ASISTENCIA!U40&lt;&gt;"F",ASISTENCIA!U40&lt;&gt;""),SUMIF($F$13:$J$13,AA$13,$F41:$J41),"")</f>
        <v/>
      </c>
      <c r="AB41" s="168" t="str">
        <f>IF(AND(LEN($D41)&gt;0,SUMIF($F$13:$J$13,AB$13,$F41:$J41)&gt;0,ASISTENCIA!V40&lt;&gt;"X",ASISTENCIA!V40&lt;&gt;"L",ASISTENCIA!V40&lt;&gt;"J",ASISTENCIA!V40&lt;&gt;"V",ASISTENCIA!V40&lt;&gt;"F",ASISTENCIA!V40&lt;&gt;""),SUMIF($F$13:$J$13,AB$13,$F41:$J41),"")</f>
        <v/>
      </c>
      <c r="AC41" s="168" t="str">
        <f>IF(AND(LEN($D41)&gt;0,SUMIF($F$13:$J$13,AC$13,$F41:$J41)&gt;0,ASISTENCIA!W40&lt;&gt;"X",ASISTENCIA!W40&lt;&gt;"L",ASISTENCIA!W40&lt;&gt;"J",ASISTENCIA!W40&lt;&gt;"V",ASISTENCIA!W40&lt;&gt;"F",ASISTENCIA!W40&lt;&gt;""),SUMIF($F$13:$J$13,AC$13,$F41:$J41),"")</f>
        <v/>
      </c>
      <c r="AD41" s="168" t="str">
        <f>IF(AND(LEN($D41)&gt;0,SUMIF($F$13:$J$13,AD$13,$F41:$J41)&gt;0,ASISTENCIA!X40&lt;&gt;"X",ASISTENCIA!X40&lt;&gt;"L",ASISTENCIA!X40&lt;&gt;"J",ASISTENCIA!X40&lt;&gt;"V",ASISTENCIA!X40&lt;&gt;"F",ASISTENCIA!X40&lt;&gt;""),SUMIF($F$13:$J$13,AD$13,$F41:$J41),"")</f>
        <v/>
      </c>
      <c r="AE41" s="168" t="str">
        <f>IF(AND(LEN($D41)&gt;0,SUMIF($F$13:$J$13,AE$13,$F41:$J41)&gt;0,ASISTENCIA!Y40&lt;&gt;"X",ASISTENCIA!Y40&lt;&gt;"L",ASISTENCIA!Y40&lt;&gt;"J",ASISTENCIA!Y40&lt;&gt;"V",ASISTENCIA!Y40&lt;&gt;"F",ASISTENCIA!Y40&lt;&gt;""),SUMIF($F$13:$J$13,AE$13,$F41:$J41),"")</f>
        <v/>
      </c>
      <c r="AF41" s="168" t="str">
        <f>IF(AND(LEN($D41)&gt;0,SUMIF($F$13:$J$13,AF$13,$F41:$J41)&gt;0,ASISTENCIA!Z40&lt;&gt;"X",ASISTENCIA!Z40&lt;&gt;"L",ASISTENCIA!Z40&lt;&gt;"J",ASISTENCIA!Z40&lt;&gt;"V",ASISTENCIA!Z40&lt;&gt;"F",ASISTENCIA!Z40&lt;&gt;""),SUMIF($F$13:$J$13,AF$13,$F41:$J41),"")</f>
        <v/>
      </c>
      <c r="AG41" s="168" t="str">
        <f>IF(AND(LEN($D41)&gt;0,SUMIF($F$13:$J$13,AG$13,$F41:$J41)&gt;0,ASISTENCIA!AA40&lt;&gt;"X",ASISTENCIA!AA40&lt;&gt;"L",ASISTENCIA!AA40&lt;&gt;"J",ASISTENCIA!AA40&lt;&gt;"V",ASISTENCIA!AA40&lt;&gt;"F",ASISTENCIA!AA40&lt;&gt;""),SUMIF($F$13:$J$13,AG$13,$F41:$J41),"")</f>
        <v/>
      </c>
      <c r="AH41" s="168" t="str">
        <f>IF(AND(LEN($D41)&gt;0,SUMIF($F$13:$J$13,AH$13,$F41:$J41)&gt;0,ASISTENCIA!AB40&lt;&gt;"X",ASISTENCIA!AB40&lt;&gt;"L",ASISTENCIA!AB40&lt;&gt;"J",ASISTENCIA!AB40&lt;&gt;"V",ASISTENCIA!AB40&lt;&gt;"F",ASISTENCIA!AB40&lt;&gt;""),SUMIF($F$13:$J$13,AH$13,$F41:$J41),"")</f>
        <v/>
      </c>
      <c r="AI41" s="168" t="str">
        <f>IF(AND(LEN($D41)&gt;0,SUMIF($F$13:$J$13,AI$13,$F41:$J41)&gt;0,ASISTENCIA!AC40&lt;&gt;"X",ASISTENCIA!AC40&lt;&gt;"L",ASISTENCIA!AC40&lt;&gt;"J",ASISTENCIA!AC40&lt;&gt;"V",ASISTENCIA!AC40&lt;&gt;"F",ASISTENCIA!AC40&lt;&gt;""),SUMIF($F$13:$J$13,AI$13,$F41:$J41),"")</f>
        <v/>
      </c>
      <c r="AJ41" s="168" t="str">
        <f>IF(AND(LEN($D41)&gt;0,SUMIF($F$13:$J$13,AJ$13,$F41:$J41)&gt;0,ASISTENCIA!AD40&lt;&gt;"X",ASISTENCIA!AD40&lt;&gt;"L",ASISTENCIA!AD40&lt;&gt;"J",ASISTENCIA!AD40&lt;&gt;"V",ASISTENCIA!AD40&lt;&gt;"F",ASISTENCIA!AD40&lt;&gt;""),SUMIF($F$13:$J$13,AJ$13,$F41:$J41),"")</f>
        <v/>
      </c>
      <c r="AK41" s="168" t="str">
        <f>IF(AND(LEN($D41)&gt;0,SUMIF($F$13:$J$13,AK$13,$F41:$J41)&gt;0,ASISTENCIA!AE40&lt;&gt;"X",ASISTENCIA!AE40&lt;&gt;"L",ASISTENCIA!AE40&lt;&gt;"J",ASISTENCIA!AE40&lt;&gt;"V",ASISTENCIA!AE40&lt;&gt;"F",ASISTENCIA!AE40&lt;&gt;""),SUMIF($F$13:$J$13,AK$13,$F41:$J41),"")</f>
        <v/>
      </c>
      <c r="AL41" s="168" t="str">
        <f>IF(AND(LEN($D41)&gt;0,SUMIF($F$13:$J$13,AL$13,$F41:$J41)&gt;0,ASISTENCIA!AF40&lt;&gt;"X",ASISTENCIA!AF40&lt;&gt;"L",ASISTENCIA!AF40&lt;&gt;"J",ASISTENCIA!AF40&lt;&gt;"V",ASISTENCIA!AF40&lt;&gt;"F",ASISTENCIA!AF40&lt;&gt;""),SUMIF($F$13:$J$13,AL$13,$F41:$J41),"")</f>
        <v/>
      </c>
      <c r="AM41" s="168" t="str">
        <f>IF(AND(LEN($D41)&gt;0,SUMIF($F$13:$J$13,AM$13,$F41:$J41)&gt;0,ASISTENCIA!AG40&lt;&gt;"X",ASISTENCIA!AG40&lt;&gt;"L",ASISTENCIA!AG40&lt;&gt;"J",ASISTENCIA!AG40&lt;&gt;"V",ASISTENCIA!AG40&lt;&gt;"F",ASISTENCIA!AG40&lt;&gt;""),SUMIF($F$13:$J$13,AM$13,$F41:$J41),"")</f>
        <v/>
      </c>
      <c r="AN41" s="168" t="str">
        <f>IF(AND(LEN($D41)&gt;0,SUMIF($F$13:$J$13,AN$13,$F41:$J41)&gt;0,ASISTENCIA!AH40&lt;&gt;"X",ASISTENCIA!AH40&lt;&gt;"L",ASISTENCIA!AH40&lt;&gt;"J",ASISTENCIA!AH40&lt;&gt;"V",ASISTENCIA!AH40&lt;&gt;"F",ASISTENCIA!AH40&lt;&gt;""),SUMIF($F$13:$J$13,AN$13,$F41:$J41),"")</f>
        <v/>
      </c>
      <c r="AO41" s="168" t="str">
        <f>IF(AND(LEN($D41)&gt;0,SUMIF($F$13:$J$13,AO$13,$F41:$J41)&gt;0,ASISTENCIA!AI40&lt;&gt;"X",ASISTENCIA!AI40&lt;&gt;"L",ASISTENCIA!AI40&lt;&gt;"J",ASISTENCIA!AI40&lt;&gt;"V",ASISTENCIA!AI40&lt;&gt;"F",ASISTENCIA!AI40&lt;&gt;""),SUMIF($F$13:$J$13,AO$13,$F41:$J41),"")</f>
        <v/>
      </c>
      <c r="AP41" s="168" t="str">
        <f>IF(AND(LEN($D41)&gt;0,SUMIF($F$13:$J$13,AP$13,$F41:$J41)&gt;0,ASISTENCIA!AJ40&lt;&gt;"X",ASISTENCIA!AJ40&lt;&gt;"L",ASISTENCIA!AJ40&lt;&gt;"J",ASISTENCIA!AJ40&lt;&gt;"V",ASISTENCIA!AJ40&lt;&gt;"F",ASISTENCIA!AJ40&lt;&gt;""),SUMIF($F$13:$J$13,AP$13,$F41:$J41),"")</f>
        <v/>
      </c>
      <c r="AQ41" s="168" t="str">
        <f>IF(AND(LEN($D41)&gt;0,SUMIF($F$13:$J$13,AQ$13,$F41:$J41)&gt;0,ASISTENCIA!AK40&lt;&gt;"X",ASISTENCIA!AK40&lt;&gt;"L",ASISTENCIA!AK40&lt;&gt;"J",ASISTENCIA!AK40&lt;&gt;"V",ASISTENCIA!AK40&lt;&gt;"F",ASISTENCIA!AK40&lt;&gt;""),SUMIF($F$13:$J$13,AQ$13,$F41:$J41),"")</f>
        <v/>
      </c>
      <c r="AR41" s="168" t="str">
        <f>IF(AND(LEN($D41)&gt;0,SUMIF($F$13:$J$13,AR$13,$F41:$J41)&gt;0,ASISTENCIA!AL40&lt;&gt;"X",ASISTENCIA!AL40&lt;&gt;"L",ASISTENCIA!AL40&lt;&gt;"J",ASISTENCIA!AL40&lt;&gt;"V",ASISTENCIA!AL40&lt;&gt;"F",ASISTENCIA!AL40&lt;&gt;""),SUMIF($F$13:$J$13,AR$13,$F41:$J41),"")</f>
        <v/>
      </c>
      <c r="AS41" s="168" t="str">
        <f>IF(AND(LEN($D41)&gt;0,SUMIF($F$13:$J$13,AS$13,$F41:$J41)&gt;0,ASISTENCIA!AM40&lt;&gt;"X",ASISTENCIA!AM40&lt;&gt;"L",ASISTENCIA!AM40&lt;&gt;"J",ASISTENCIA!AM40&lt;&gt;"V",ASISTENCIA!AM40&lt;&gt;"F",ASISTENCIA!AM40&lt;&gt;""),SUMIF($F$13:$J$13,AS$13,$F41:$J41),"")</f>
        <v/>
      </c>
      <c r="AT41" s="182" t="str">
        <f t="shared" si="4"/>
        <v/>
      </c>
      <c r="AU41" s="10"/>
      <c r="AV41" s="10"/>
      <c r="AW41" s="10"/>
      <c r="AX41" s="168" t="str">
        <f>IF(AND(LEN($D41)&gt;0,SUMIF($F$13:$J$13,AX$13,$F41:$J41)&gt;0,ASISTENCIA!AU40&lt;&gt;"X",ASISTENCIA!AU40&lt;&gt;"L",ASISTENCIA!AU40&lt;&gt;"J",ASISTENCIA!AU40&lt;&gt;"F"),SUMIF($F$13:$J$13,AX$13,$F41:$J41),"")</f>
        <v/>
      </c>
      <c r="AY41" s="168" t="str">
        <f>IF(AND(LEN($D41)&gt;0,SUMIF($F$13:$J$13,AY$13,$F41:$J41)&gt;0,ASISTENCIA!AV40&lt;&gt;"X",ASISTENCIA!AV40&lt;&gt;"L",ASISTENCIA!AV40&lt;&gt;"J",ASISTENCIA!AV40&lt;&gt;"F"),SUMIF($F$13:$J$13,AY$13,$F41:$J41),"")</f>
        <v/>
      </c>
      <c r="AZ41" s="168" t="str">
        <f>IF(AND(LEN($D41)&gt;0,SUMIF($F$13:$J$13,AZ$13,$F41:$J41)&gt;0,ASISTENCIA!AW40&lt;&gt;"X",ASISTENCIA!AW40&lt;&gt;"L",ASISTENCIA!AW40&lt;&gt;"J",ASISTENCIA!AW40&lt;&gt;"F"),SUMIF($F$13:$J$13,AZ$13,$F41:$J41),"")</f>
        <v/>
      </c>
      <c r="BA41" s="168" t="str">
        <f>IF(AND(LEN($D41)&gt;0,SUMIF($F$13:$J$13,BA$13,$F41:$J41)&gt;0,ASISTENCIA!AX40&lt;&gt;"X",ASISTENCIA!AX40&lt;&gt;"L",ASISTENCIA!AX40&lt;&gt;"J",ASISTENCIA!AX40&lt;&gt;"F"),SUMIF($F$13:$J$13,BA$13,$F41:$J41),"")</f>
        <v/>
      </c>
      <c r="BB41" s="168" t="str">
        <f>IF(AND(LEN($D41)&gt;0,SUMIF($F$13:$J$13,BB$13,$F41:$J41)&gt;0,ASISTENCIA!AY40&lt;&gt;"X",ASISTENCIA!AY40&lt;&gt;"L",ASISTENCIA!AY40&lt;&gt;"J",ASISTENCIA!AY40&lt;&gt;"F"),SUMIF($F$13:$J$13,BB$13,$F41:$J41),"")</f>
        <v/>
      </c>
      <c r="BC41" s="168" t="str">
        <f>IF(AND(LEN($D41)&gt;0,SUMIF($F$13:$J$13,BC$13,$F41:$J41)&gt;0,ASISTENCIA!AZ40&lt;&gt;"X",ASISTENCIA!AZ40&lt;&gt;"L",ASISTENCIA!AZ40&lt;&gt;"J",ASISTENCIA!AZ40&lt;&gt;"F"),SUMIF($F$13:$J$13,BC$13,$F41:$J41),"")</f>
        <v/>
      </c>
      <c r="BD41" s="168" t="str">
        <f>IF(AND(LEN($D41)&gt;0,SUMIF($F$13:$J$13,BD$13,$F41:$J41)&gt;0,ASISTENCIA!BA40&lt;&gt;"X",ASISTENCIA!BA40&lt;&gt;"L",ASISTENCIA!BA40&lt;&gt;"J",ASISTENCIA!BA40&lt;&gt;"F"),SUMIF($F$13:$J$13,BD$13,$F41:$J41),"")</f>
        <v/>
      </c>
      <c r="BE41" s="168" t="str">
        <f>IF(AND(LEN($D41)&gt;0,SUMIF($F$13:$J$13,BE$13,$F41:$J41)&gt;0,ASISTENCIA!BB40&lt;&gt;"X",ASISTENCIA!BB40&lt;&gt;"L",ASISTENCIA!BB40&lt;&gt;"J",ASISTENCIA!BB40&lt;&gt;"F"),SUMIF($F$13:$J$13,BE$13,$F41:$J41),"")</f>
        <v/>
      </c>
      <c r="BF41" s="168" t="str">
        <f>IF(AND(LEN($D41)&gt;0,SUMIF($F$13:$J$13,BF$13,$F41:$J41)&gt;0,ASISTENCIA!#REF!&lt;&gt;"X",ASISTENCIA!#REF!&lt;&gt;"L",ASISTENCIA!#REF!&lt;&gt;"J",ASISTENCIA!#REF!&lt;&gt;"F"),SUMIF($F$13:$J$13,BF$13,$F41:$J41),"")</f>
        <v>#ERROR!</v>
      </c>
      <c r="BG41" s="168" t="str">
        <f>IF(AND(LEN($D41)&gt;0,SUMIF($F$13:$J$13,BG$13,$F41:$J41)&gt;0,ASISTENCIA!#REF!&lt;&gt;"X",ASISTENCIA!#REF!&lt;&gt;"L",ASISTENCIA!#REF!&lt;&gt;"J",ASISTENCIA!#REF!&lt;&gt;"F"),SUMIF($F$13:$J$13,BG$13,$F41:$J41),"")</f>
        <v>#ERROR!</v>
      </c>
      <c r="BH41" s="168" t="str">
        <f>IF(AND(LEN($D41)&gt;0,SUMIF($F$13:$J$13,BH$13,$F41:$J41)&gt;0,ASISTENCIA!BE40&lt;&gt;"X",ASISTENCIA!BE40&lt;&gt;"L",ASISTENCIA!BE40&lt;&gt;"J",ASISTENCIA!BE40&lt;&gt;"F"),SUMIF($F$13:$J$13,BH$13,$F41:$J41),"")</f>
        <v/>
      </c>
      <c r="BI41" s="168" t="str">
        <f>IF(AND(LEN($D41)&gt;0,SUMIF($F$13:$J$13,BI$13,$F41:$J41)&gt;0,ASISTENCIA!BF40&lt;&gt;"X",ASISTENCIA!BF40&lt;&gt;"L",ASISTENCIA!BF40&lt;&gt;"J",ASISTENCIA!BF40&lt;&gt;"F"),SUMIF($F$13:$J$13,BI$13,$F41:$J41),"")</f>
        <v/>
      </c>
      <c r="BJ41" s="168" t="str">
        <f>IF(AND(LEN($D41)&gt;0,SUMIF($F$13:$J$13,BJ$13,$F41:$J41)&gt;0,ASISTENCIA!BG40&lt;&gt;"X",ASISTENCIA!BG40&lt;&gt;"L",ASISTENCIA!BG40&lt;&gt;"J",ASISTENCIA!BG40&lt;&gt;"F"),SUMIF($F$13:$J$13,BJ$13,$F41:$J41),"")</f>
        <v/>
      </c>
      <c r="BK41" s="168" t="str">
        <f>IF(AND(LEN($D41)&gt;0,SUMIF($F$13:$J$13,BK$13,$F41:$J41)&gt;0,ASISTENCIA!BH40&lt;&gt;"X",ASISTENCIA!BH40&lt;&gt;"L",ASISTENCIA!BH40&lt;&gt;"J",ASISTENCIA!BH40&lt;&gt;"F"),SUMIF($F$13:$J$13,BK$13,$F41:$J41),"")</f>
        <v/>
      </c>
      <c r="BL41" s="168" t="str">
        <f>IF(AND(LEN($D41)&gt;0,SUMIF($F$13:$J$13,BL$13,$F41:$J41)&gt;0,ASISTENCIA!BI40&lt;&gt;"X",ASISTENCIA!BI40&lt;&gt;"L",ASISTENCIA!BI40&lt;&gt;"J",ASISTENCIA!BI40&lt;&gt;"F"),SUMIF($F$13:$J$13,BL$13,$F41:$J41),"")</f>
        <v/>
      </c>
      <c r="BM41" s="168" t="str">
        <f>IF(AND(LEN($D41)&gt;0,SUMIF($F$13:$J$13,BM$13,$F41:$J41)&gt;0,ASISTENCIA!BJ40&lt;&gt;"X",ASISTENCIA!BJ40&lt;&gt;"L",ASISTENCIA!BJ40&lt;&gt;"J",ASISTENCIA!BJ40&lt;&gt;"F"),SUMIF($F$13:$J$13,BM$13,$F41:$J41),"")</f>
        <v/>
      </c>
      <c r="BN41" s="168" t="str">
        <f>IF(AND(LEN($D41)&gt;0,SUMIF($F$13:$J$13,BN$13,$F41:$J41)&gt;0,ASISTENCIA!BK40&lt;&gt;"X",ASISTENCIA!BK40&lt;&gt;"L",ASISTENCIA!BK40&lt;&gt;"J",ASISTENCIA!BK40&lt;&gt;"F"),SUMIF($F$13:$J$13,BN$13,$F41:$J41),"")</f>
        <v/>
      </c>
      <c r="BO41" s="168" t="str">
        <f>IF(AND(LEN($D41)&gt;0,SUMIF($F$13:$J$13,BO$13,$F41:$J41)&gt;0,ASISTENCIA!BL40&lt;&gt;"X",ASISTENCIA!BL40&lt;&gt;"L",ASISTENCIA!BL40&lt;&gt;"J",ASISTENCIA!BL40&lt;&gt;"F"),SUMIF($F$13:$J$13,BO$13,$F41:$J41),"")</f>
        <v/>
      </c>
      <c r="BP41" s="168" t="str">
        <f>IF(AND(LEN($D41)&gt;0,SUMIF($F$13:$J$13,BP$13,$F41:$J41)&gt;0,ASISTENCIA!BM40&lt;&gt;"X",ASISTENCIA!BM40&lt;&gt;"L",ASISTENCIA!BM40&lt;&gt;"J",ASISTENCIA!BM40&lt;&gt;"F"),SUMIF($F$13:$J$13,BP$13,$F41:$J41),"")</f>
        <v/>
      </c>
      <c r="BQ41" s="168" t="str">
        <f>IF(AND(LEN($D41)&gt;0,SUMIF($F$13:$J$13,BQ$13,$F41:$J41)&gt;0,ASISTENCIA!BN40&lt;&gt;"X",ASISTENCIA!BN40&lt;&gt;"L",ASISTENCIA!BN40&lt;&gt;"J",ASISTENCIA!BN40&lt;&gt;"F"),SUMIF($F$13:$J$13,BQ$13,$F41:$J41),"")</f>
        <v/>
      </c>
      <c r="BR41" s="168" t="str">
        <f>IF(AND(LEN($D41)&gt;0,SUMIF($F$13:$J$13,BR$13,$F41:$J41)&gt;0,ASISTENCIA!BO40&lt;&gt;"X",ASISTENCIA!BO40&lt;&gt;"L",ASISTENCIA!BO40&lt;&gt;"J",ASISTENCIA!BO40&lt;&gt;"F"),SUMIF($F$13:$J$13,BR$13,$F41:$J41),"")</f>
        <v/>
      </c>
      <c r="BS41" s="168" t="str">
        <f>IF(AND(LEN($D41)&gt;0,SUMIF($F$13:$J$13,BS$13,$F41:$J41)&gt;0,ASISTENCIA!BP40&lt;&gt;"X",ASISTENCIA!BP40&lt;&gt;"L",ASISTENCIA!BP40&lt;&gt;"J",ASISTENCIA!BP40&lt;&gt;"F"),SUMIF($F$13:$J$13,BS$13,$F41:$J41),"")</f>
        <v/>
      </c>
      <c r="BT41" s="168" t="str">
        <f>IF(AND(LEN($D41)&gt;0,SUMIF($F$13:$J$13,BT$13,$F41:$J41)&gt;0,ASISTENCIA!BQ40&lt;&gt;"X",ASISTENCIA!BQ40&lt;&gt;"L",ASISTENCIA!BQ40&lt;&gt;"J",ASISTENCIA!BQ40&lt;&gt;"F"),SUMIF($F$13:$J$13,BT$13,$F41:$J41),"")</f>
        <v/>
      </c>
      <c r="BU41" s="168" t="str">
        <f>IF(AND(LEN($D41)&gt;0,SUMIF($F$13:$J$13,BU$13,$F41:$J41)&gt;0,ASISTENCIA!BR40&lt;&gt;"X",ASISTENCIA!BR40&lt;&gt;"L",ASISTENCIA!BR40&lt;&gt;"J",ASISTENCIA!BR40&lt;&gt;"F"),SUMIF($F$13:$J$13,BU$13,$F41:$J41),"")</f>
        <v/>
      </c>
      <c r="BV41" s="168" t="str">
        <f>IF(AND(LEN($D41)&gt;0,SUMIF($F$13:$J$13,BV$13,$F41:$J41)&gt;0,ASISTENCIA!BS40&lt;&gt;"X",ASISTENCIA!BS40&lt;&gt;"L",ASISTENCIA!BS40&lt;&gt;"J",ASISTENCIA!BS40&lt;&gt;"F"),SUMIF($F$13:$J$13,BV$13,$F41:$J41),"")</f>
        <v/>
      </c>
      <c r="BW41" s="168" t="str">
        <f>IF(AND(LEN($D41)&gt;0,SUMIF($F$13:$J$13,BW$13,$F41:$J41)&gt;0,ASISTENCIA!BT40&lt;&gt;"X",ASISTENCIA!BT40&lt;&gt;"L",ASISTENCIA!BT40&lt;&gt;"J",ASISTENCIA!BT40&lt;&gt;"F"),SUMIF($F$13:$J$13,BW$13,$F41:$J41),"")</f>
        <v/>
      </c>
      <c r="BX41" s="168" t="str">
        <f>IF(AND(LEN($D41)&gt;0,SUMIF($F$13:$J$13,BX$13,$F41:$J41)&gt;0,ASISTENCIA!BU40&lt;&gt;"X",ASISTENCIA!BU40&lt;&gt;"L",ASISTENCIA!BU40&lt;&gt;"J",ASISTENCIA!BU40&lt;&gt;"F"),SUMIF($F$13:$J$13,BX$13,$F41:$J41),"")</f>
        <v/>
      </c>
      <c r="BY41" s="168" t="str">
        <f>IF(AND(LEN($D41)&gt;0,SUMIF($F$13:$J$13,BY$13,$F41:$J41)&gt;0,ASISTENCIA!BV40&lt;&gt;"X",ASISTENCIA!BV40&lt;&gt;"L",ASISTENCIA!BV40&lt;&gt;"J",ASISTENCIA!BV40&lt;&gt;"F"),SUMIF($F$13:$J$13,BY$13,$F41:$J41),"")</f>
        <v/>
      </c>
      <c r="BZ41" s="168" t="str">
        <f>IF(AND(LEN($D41)&gt;0,SUMIF($F$13:$J$13,BZ$13,$F41:$J41)&gt;0,ASISTENCIA!BW40&lt;&gt;"X",ASISTENCIA!BW40&lt;&gt;"L",ASISTENCIA!BW40&lt;&gt;"J",ASISTENCIA!BW40&lt;&gt;"F"),SUMIF($F$13:$J$13,BZ$13,$F41:$J41),"")</f>
        <v/>
      </c>
      <c r="CA41" s="168" t="str">
        <f>IF(AND(LEN($D41)&gt;0,SUMIF($F$13:$J$13,CA$13,$F41:$J41)&gt;0,ASISTENCIA!BX40&lt;&gt;"X",ASISTENCIA!BX40&lt;&gt;"L",ASISTENCIA!BX40&lt;&gt;"J",ASISTENCIA!BX40&lt;&gt;"F"),SUMIF($F$13:$J$13,CA$13,$F41:$J41),"")</f>
        <v/>
      </c>
      <c r="CB41" s="168" t="str">
        <f>IF(AND(LEN($D41)&gt;0,SUMIF($F$13:$J$13,CB$13,$F41:$J41)&gt;0,ASISTENCIA!BY40&lt;&gt;"X",ASISTENCIA!BY40&lt;&gt;"L",ASISTENCIA!BY40&lt;&gt;"J",ASISTENCIA!BY40&lt;&gt;"F"),SUMIF($F$13:$J$13,CB$13,$F41:$J41),"")</f>
        <v/>
      </c>
      <c r="CC41" s="182" t="str">
        <f t="shared" si="5"/>
        <v>#ERROR!</v>
      </c>
      <c r="CD41" s="10"/>
    </row>
    <row r="42" ht="12.75" customHeight="1">
      <c r="A42" s="132" t="str">
        <f t="shared" si="6"/>
        <v/>
      </c>
      <c r="B42" s="183" t="str">
        <f>IF(LEN(C42)&gt;0,VLOOKUP($O$4,DATA!$A$1:$S$1,2,FALSE),"")</f>
        <v/>
      </c>
      <c r="C42" s="184" t="str">
        <f t="shared" si="1"/>
        <v/>
      </c>
      <c r="D42" s="136" t="str">
        <f>IF(LEN(ASISTENCIA!E41)&gt;0,ASISTENCIA!E41,"")</f>
        <v/>
      </c>
      <c r="E42" s="167" t="str">
        <f>IF(LEN(D42)&gt;0,ASISTENCIA!F41,"")</f>
        <v/>
      </c>
      <c r="F42" s="144"/>
      <c r="G42" s="144"/>
      <c r="H42" s="144"/>
      <c r="I42" s="144"/>
      <c r="J42" s="144"/>
      <c r="K42" s="168" t="str">
        <f t="shared" si="2"/>
        <v/>
      </c>
      <c r="L42" s="185"/>
      <c r="M42" s="168"/>
      <c r="N42" s="168" t="str">
        <f t="shared" si="3"/>
        <v>#ERROR!</v>
      </c>
      <c r="O42" s="168" t="str">
        <f>IF(AND(LEN($D42)&gt;0,SUMIF($F$13:$J$13,O$13,$F42:$J42)&gt;0,ASISTENCIA!I41&lt;&gt;"X",ASISTENCIA!I41&lt;&gt;"L",ASISTENCIA!I41&lt;&gt;"J",ASISTENCIA!I41&lt;&gt;"V",ASISTENCIA!I41&lt;&gt;"F",ASISTENCIA!I41&lt;&gt;""),SUMIF($F$13:$J$13,O$13,$F42:$J42),"")</f>
        <v/>
      </c>
      <c r="P42" s="168" t="str">
        <f>IF(AND(LEN($D42)&gt;0,SUMIF($F$13:$J$13,P$13,$F42:$J42)&gt;0,ASISTENCIA!J41&lt;&gt;"X",ASISTENCIA!J41&lt;&gt;"L",ASISTENCIA!J41&lt;&gt;"J",ASISTENCIA!J41&lt;&gt;"V",ASISTENCIA!J41&lt;&gt;"F",ASISTENCIA!J41&lt;&gt;""),SUMIF($F$13:$J$13,P$13,$F42:$J42),"")</f>
        <v/>
      </c>
      <c r="Q42" s="168" t="str">
        <f>IF(AND(LEN($D42)&gt;0,SUMIF($F$13:$J$13,Q$13,$F42:$J42)&gt;0,ASISTENCIA!K41&lt;&gt;"X",ASISTENCIA!K41&lt;&gt;"L",ASISTENCIA!K41&lt;&gt;"J",ASISTENCIA!K41&lt;&gt;"V",ASISTENCIA!K41&lt;&gt;"F",ASISTENCIA!K41&lt;&gt;""),SUMIF($F$13:$J$13,Q$13,$F42:$J42),"")</f>
        <v/>
      </c>
      <c r="R42" s="168" t="str">
        <f>IF(AND(LEN($D42)&gt;0,SUMIF($F$13:$J$13,R$13,$F42:$J42)&gt;0,ASISTENCIA!L41&lt;&gt;"X",ASISTENCIA!L41&lt;&gt;"L",ASISTENCIA!L41&lt;&gt;"J",ASISTENCIA!L41&lt;&gt;"V",ASISTENCIA!L41&lt;&gt;"F",ASISTENCIA!L41&lt;&gt;""),SUMIF($F$13:$J$13,R$13,$F42:$J42),"")</f>
        <v/>
      </c>
      <c r="S42" s="168" t="str">
        <f>IF(AND(LEN($D42)&gt;0,SUMIF($F$13:$J$13,S$13,$F42:$J42)&gt;0,ASISTENCIA!M41&lt;&gt;"X",ASISTENCIA!M41&lt;&gt;"L",ASISTENCIA!M41&lt;&gt;"J",ASISTENCIA!M41&lt;&gt;"V",ASISTENCIA!M41&lt;&gt;"F",ASISTENCIA!M41&lt;&gt;""),SUMIF($F$13:$J$13,S$13,$F42:$J42),"")</f>
        <v/>
      </c>
      <c r="T42" s="168" t="str">
        <f>IF(AND(LEN($D42)&gt;0,SUMIF($F$13:$J$13,T$13,$F42:$J42)&gt;0,ASISTENCIA!N41&lt;&gt;"X",ASISTENCIA!N41&lt;&gt;"L",ASISTENCIA!N41&lt;&gt;"J",ASISTENCIA!N41&lt;&gt;"V",ASISTENCIA!N41&lt;&gt;"F",ASISTENCIA!N41&lt;&gt;""),SUMIF($F$13:$J$13,T$13,$F42:$J42),"")</f>
        <v/>
      </c>
      <c r="U42" s="168" t="str">
        <f>IF(AND(LEN($D42)&gt;0,SUMIF($F$13:$J$13,U$13,$F42:$J42)&gt;0,ASISTENCIA!O41&lt;&gt;"X",ASISTENCIA!O41&lt;&gt;"L",ASISTENCIA!O41&lt;&gt;"J",ASISTENCIA!O41&lt;&gt;"V",ASISTENCIA!O41&lt;&gt;"F",ASISTENCIA!O41&lt;&gt;""),SUMIF($F$13:$J$13,U$13,$F42:$J42),"")</f>
        <v/>
      </c>
      <c r="V42" s="168" t="str">
        <f>IF(AND(LEN($D42)&gt;0,SUMIF($F$13:$J$13,V$13,$F42:$J42)&gt;0,ASISTENCIA!P41&lt;&gt;"X",ASISTENCIA!P41&lt;&gt;"L",ASISTENCIA!P41&lt;&gt;"J",ASISTENCIA!P41&lt;&gt;"V",ASISTENCIA!P41&lt;&gt;"F",ASISTENCIA!P41&lt;&gt;""),SUMIF($F$13:$J$13,V$13,$F42:$J42),"")</f>
        <v/>
      </c>
      <c r="W42" s="168" t="str">
        <f>IF(AND(LEN($D42)&gt;0,SUMIF($F$13:$J$13,W$13,$F42:$J42)&gt;0,ASISTENCIA!Q41&lt;&gt;"X",ASISTENCIA!Q41&lt;&gt;"L",ASISTENCIA!Q41&lt;&gt;"J",ASISTENCIA!Q41&lt;&gt;"V",ASISTENCIA!Q41&lt;&gt;"F",ASISTENCIA!Q41&lt;&gt;""),SUMIF($F$13:$J$13,W$13,$F42:$J42),"")</f>
        <v/>
      </c>
      <c r="X42" s="168" t="str">
        <f>IF(AND(LEN($D42)&gt;0,SUMIF($F$13:$J$13,X$13,$F42:$J42)&gt;0,ASISTENCIA!R41&lt;&gt;"X",ASISTENCIA!R41&lt;&gt;"L",ASISTENCIA!R41&lt;&gt;"J",ASISTENCIA!R41&lt;&gt;"V",ASISTENCIA!R41&lt;&gt;"F",ASISTENCIA!R41&lt;&gt;""),SUMIF($F$13:$J$13,X$13,$F42:$J42),"")</f>
        <v/>
      </c>
      <c r="Y42" s="168" t="str">
        <f>IF(AND(LEN($D42)&gt;0,SUMIF($F$13:$J$13,Y$13,$F42:$J42)&gt;0,ASISTENCIA!S41&lt;&gt;"X",ASISTENCIA!S41&lt;&gt;"L",ASISTENCIA!S41&lt;&gt;"J",ASISTENCIA!S41&lt;&gt;"V",ASISTENCIA!S41&lt;&gt;"F",ASISTENCIA!S41&lt;&gt;""),SUMIF($F$13:$J$13,Y$13,$F42:$J42),"")</f>
        <v/>
      </c>
      <c r="Z42" s="168" t="str">
        <f>IF(AND(LEN($D42)&gt;0,SUMIF($F$13:$J$13,Z$13,$F42:$J42)&gt;0,ASISTENCIA!T41&lt;&gt;"X",ASISTENCIA!T41&lt;&gt;"L",ASISTENCIA!T41&lt;&gt;"J",ASISTENCIA!T41&lt;&gt;"V",ASISTENCIA!T41&lt;&gt;"F",ASISTENCIA!T41&lt;&gt;""),SUMIF($F$13:$J$13,Z$13,$F42:$J42),"")</f>
        <v/>
      </c>
      <c r="AA42" s="168" t="str">
        <f>IF(AND(LEN($D42)&gt;0,SUMIF($F$13:$J$13,AA$13,$F42:$J42)&gt;0,ASISTENCIA!U41&lt;&gt;"X",ASISTENCIA!U41&lt;&gt;"L",ASISTENCIA!U41&lt;&gt;"J",ASISTENCIA!U41&lt;&gt;"V",ASISTENCIA!U41&lt;&gt;"F",ASISTENCIA!U41&lt;&gt;""),SUMIF($F$13:$J$13,AA$13,$F42:$J42),"")</f>
        <v/>
      </c>
      <c r="AB42" s="168" t="str">
        <f>IF(AND(LEN($D42)&gt;0,SUMIF($F$13:$J$13,AB$13,$F42:$J42)&gt;0,ASISTENCIA!V41&lt;&gt;"X",ASISTENCIA!V41&lt;&gt;"L",ASISTENCIA!V41&lt;&gt;"J",ASISTENCIA!V41&lt;&gt;"V",ASISTENCIA!V41&lt;&gt;"F",ASISTENCIA!V41&lt;&gt;""),SUMIF($F$13:$J$13,AB$13,$F42:$J42),"")</f>
        <v/>
      </c>
      <c r="AC42" s="168" t="str">
        <f>IF(AND(LEN($D42)&gt;0,SUMIF($F$13:$J$13,AC$13,$F42:$J42)&gt;0,ASISTENCIA!W41&lt;&gt;"X",ASISTENCIA!W41&lt;&gt;"L",ASISTENCIA!W41&lt;&gt;"J",ASISTENCIA!W41&lt;&gt;"V",ASISTENCIA!W41&lt;&gt;"F",ASISTENCIA!W41&lt;&gt;""),SUMIF($F$13:$J$13,AC$13,$F42:$J42),"")</f>
        <v/>
      </c>
      <c r="AD42" s="168" t="str">
        <f>IF(AND(LEN($D42)&gt;0,SUMIF($F$13:$J$13,AD$13,$F42:$J42)&gt;0,ASISTENCIA!X41&lt;&gt;"X",ASISTENCIA!X41&lt;&gt;"L",ASISTENCIA!X41&lt;&gt;"J",ASISTENCIA!X41&lt;&gt;"V",ASISTENCIA!X41&lt;&gt;"F",ASISTENCIA!X41&lt;&gt;""),SUMIF($F$13:$J$13,AD$13,$F42:$J42),"")</f>
        <v/>
      </c>
      <c r="AE42" s="168" t="str">
        <f>IF(AND(LEN($D42)&gt;0,SUMIF($F$13:$J$13,AE$13,$F42:$J42)&gt;0,ASISTENCIA!Y41&lt;&gt;"X",ASISTENCIA!Y41&lt;&gt;"L",ASISTENCIA!Y41&lt;&gt;"J",ASISTENCIA!Y41&lt;&gt;"V",ASISTENCIA!Y41&lt;&gt;"F",ASISTENCIA!Y41&lt;&gt;""),SUMIF($F$13:$J$13,AE$13,$F42:$J42),"")</f>
        <v/>
      </c>
      <c r="AF42" s="168" t="str">
        <f>IF(AND(LEN($D42)&gt;0,SUMIF($F$13:$J$13,AF$13,$F42:$J42)&gt;0,ASISTENCIA!Z41&lt;&gt;"X",ASISTENCIA!Z41&lt;&gt;"L",ASISTENCIA!Z41&lt;&gt;"J",ASISTENCIA!Z41&lt;&gt;"V",ASISTENCIA!Z41&lt;&gt;"F",ASISTENCIA!Z41&lt;&gt;""),SUMIF($F$13:$J$13,AF$13,$F42:$J42),"")</f>
        <v/>
      </c>
      <c r="AG42" s="168" t="str">
        <f>IF(AND(LEN($D42)&gt;0,SUMIF($F$13:$J$13,AG$13,$F42:$J42)&gt;0,ASISTENCIA!AA41&lt;&gt;"X",ASISTENCIA!AA41&lt;&gt;"L",ASISTENCIA!AA41&lt;&gt;"J",ASISTENCIA!AA41&lt;&gt;"V",ASISTENCIA!AA41&lt;&gt;"F",ASISTENCIA!AA41&lt;&gt;""),SUMIF($F$13:$J$13,AG$13,$F42:$J42),"")</f>
        <v/>
      </c>
      <c r="AH42" s="168" t="str">
        <f>IF(AND(LEN($D42)&gt;0,SUMIF($F$13:$J$13,AH$13,$F42:$J42)&gt;0,ASISTENCIA!AB41&lt;&gt;"X",ASISTENCIA!AB41&lt;&gt;"L",ASISTENCIA!AB41&lt;&gt;"J",ASISTENCIA!AB41&lt;&gt;"V",ASISTENCIA!AB41&lt;&gt;"F",ASISTENCIA!AB41&lt;&gt;""),SUMIF($F$13:$J$13,AH$13,$F42:$J42),"")</f>
        <v/>
      </c>
      <c r="AI42" s="168" t="str">
        <f>IF(AND(LEN($D42)&gt;0,SUMIF($F$13:$J$13,AI$13,$F42:$J42)&gt;0,ASISTENCIA!AC41&lt;&gt;"X",ASISTENCIA!AC41&lt;&gt;"L",ASISTENCIA!AC41&lt;&gt;"J",ASISTENCIA!AC41&lt;&gt;"V",ASISTENCIA!AC41&lt;&gt;"F",ASISTENCIA!AC41&lt;&gt;""),SUMIF($F$13:$J$13,AI$13,$F42:$J42),"")</f>
        <v/>
      </c>
      <c r="AJ42" s="168" t="str">
        <f>IF(AND(LEN($D42)&gt;0,SUMIF($F$13:$J$13,AJ$13,$F42:$J42)&gt;0,ASISTENCIA!AD41&lt;&gt;"X",ASISTENCIA!AD41&lt;&gt;"L",ASISTENCIA!AD41&lt;&gt;"J",ASISTENCIA!AD41&lt;&gt;"V",ASISTENCIA!AD41&lt;&gt;"F",ASISTENCIA!AD41&lt;&gt;""),SUMIF($F$13:$J$13,AJ$13,$F42:$J42),"")</f>
        <v/>
      </c>
      <c r="AK42" s="168" t="str">
        <f>IF(AND(LEN($D42)&gt;0,SUMIF($F$13:$J$13,AK$13,$F42:$J42)&gt;0,ASISTENCIA!AE41&lt;&gt;"X",ASISTENCIA!AE41&lt;&gt;"L",ASISTENCIA!AE41&lt;&gt;"J",ASISTENCIA!AE41&lt;&gt;"V",ASISTENCIA!AE41&lt;&gt;"F",ASISTENCIA!AE41&lt;&gt;""),SUMIF($F$13:$J$13,AK$13,$F42:$J42),"")</f>
        <v/>
      </c>
      <c r="AL42" s="168" t="str">
        <f>IF(AND(LEN($D42)&gt;0,SUMIF($F$13:$J$13,AL$13,$F42:$J42)&gt;0,ASISTENCIA!AF41&lt;&gt;"X",ASISTENCIA!AF41&lt;&gt;"L",ASISTENCIA!AF41&lt;&gt;"J",ASISTENCIA!AF41&lt;&gt;"V",ASISTENCIA!AF41&lt;&gt;"F",ASISTENCIA!AF41&lt;&gt;""),SUMIF($F$13:$J$13,AL$13,$F42:$J42),"")</f>
        <v/>
      </c>
      <c r="AM42" s="168" t="str">
        <f>IF(AND(LEN($D42)&gt;0,SUMIF($F$13:$J$13,AM$13,$F42:$J42)&gt;0,ASISTENCIA!AG41&lt;&gt;"X",ASISTENCIA!AG41&lt;&gt;"L",ASISTENCIA!AG41&lt;&gt;"J",ASISTENCIA!AG41&lt;&gt;"V",ASISTENCIA!AG41&lt;&gt;"F",ASISTENCIA!AG41&lt;&gt;""),SUMIF($F$13:$J$13,AM$13,$F42:$J42),"")</f>
        <v/>
      </c>
      <c r="AN42" s="168" t="str">
        <f>IF(AND(LEN($D42)&gt;0,SUMIF($F$13:$J$13,AN$13,$F42:$J42)&gt;0,ASISTENCIA!AH41&lt;&gt;"X",ASISTENCIA!AH41&lt;&gt;"L",ASISTENCIA!AH41&lt;&gt;"J",ASISTENCIA!AH41&lt;&gt;"V",ASISTENCIA!AH41&lt;&gt;"F",ASISTENCIA!AH41&lt;&gt;""),SUMIF($F$13:$J$13,AN$13,$F42:$J42),"")</f>
        <v/>
      </c>
      <c r="AO42" s="168" t="str">
        <f>IF(AND(LEN($D42)&gt;0,SUMIF($F$13:$J$13,AO$13,$F42:$J42)&gt;0,ASISTENCIA!AI41&lt;&gt;"X",ASISTENCIA!AI41&lt;&gt;"L",ASISTENCIA!AI41&lt;&gt;"J",ASISTENCIA!AI41&lt;&gt;"V",ASISTENCIA!AI41&lt;&gt;"F",ASISTENCIA!AI41&lt;&gt;""),SUMIF($F$13:$J$13,AO$13,$F42:$J42),"")</f>
        <v/>
      </c>
      <c r="AP42" s="168" t="str">
        <f>IF(AND(LEN($D42)&gt;0,SUMIF($F$13:$J$13,AP$13,$F42:$J42)&gt;0,ASISTENCIA!AJ41&lt;&gt;"X",ASISTENCIA!AJ41&lt;&gt;"L",ASISTENCIA!AJ41&lt;&gt;"J",ASISTENCIA!AJ41&lt;&gt;"V",ASISTENCIA!AJ41&lt;&gt;"F",ASISTENCIA!AJ41&lt;&gt;""),SUMIF($F$13:$J$13,AP$13,$F42:$J42),"")</f>
        <v/>
      </c>
      <c r="AQ42" s="168" t="str">
        <f>IF(AND(LEN($D42)&gt;0,SUMIF($F$13:$J$13,AQ$13,$F42:$J42)&gt;0,ASISTENCIA!AK41&lt;&gt;"X",ASISTENCIA!AK41&lt;&gt;"L",ASISTENCIA!AK41&lt;&gt;"J",ASISTENCIA!AK41&lt;&gt;"V",ASISTENCIA!AK41&lt;&gt;"F",ASISTENCIA!AK41&lt;&gt;""),SUMIF($F$13:$J$13,AQ$13,$F42:$J42),"")</f>
        <v/>
      </c>
      <c r="AR42" s="168" t="str">
        <f>IF(AND(LEN($D42)&gt;0,SUMIF($F$13:$J$13,AR$13,$F42:$J42)&gt;0,ASISTENCIA!AL41&lt;&gt;"X",ASISTENCIA!AL41&lt;&gt;"L",ASISTENCIA!AL41&lt;&gt;"J",ASISTENCIA!AL41&lt;&gt;"V",ASISTENCIA!AL41&lt;&gt;"F",ASISTENCIA!AL41&lt;&gt;""),SUMIF($F$13:$J$13,AR$13,$F42:$J42),"")</f>
        <v/>
      </c>
      <c r="AS42" s="168" t="str">
        <f>IF(AND(LEN($D42)&gt;0,SUMIF($F$13:$J$13,AS$13,$F42:$J42)&gt;0,ASISTENCIA!AM41&lt;&gt;"X",ASISTENCIA!AM41&lt;&gt;"L",ASISTENCIA!AM41&lt;&gt;"J",ASISTENCIA!AM41&lt;&gt;"V",ASISTENCIA!AM41&lt;&gt;"F",ASISTENCIA!AM41&lt;&gt;""),SUMIF($F$13:$J$13,AS$13,$F42:$J42),"")</f>
        <v/>
      </c>
      <c r="AT42" s="182" t="str">
        <f t="shared" si="4"/>
        <v/>
      </c>
      <c r="AU42" s="10"/>
      <c r="AV42" s="10"/>
      <c r="AW42" s="10"/>
      <c r="AX42" s="168" t="str">
        <f>IF(AND(LEN($D42)&gt;0,SUMIF($F$13:$J$13,AX$13,$F42:$J42)&gt;0,ASISTENCIA!AU41&lt;&gt;"X",ASISTENCIA!AU41&lt;&gt;"L",ASISTENCIA!AU41&lt;&gt;"J",ASISTENCIA!AU41&lt;&gt;"F"),SUMIF($F$13:$J$13,AX$13,$F42:$J42),"")</f>
        <v/>
      </c>
      <c r="AY42" s="168" t="str">
        <f>IF(AND(LEN($D42)&gt;0,SUMIF($F$13:$J$13,AY$13,$F42:$J42)&gt;0,ASISTENCIA!AV41&lt;&gt;"X",ASISTENCIA!AV41&lt;&gt;"L",ASISTENCIA!AV41&lt;&gt;"J",ASISTENCIA!AV41&lt;&gt;"F"),SUMIF($F$13:$J$13,AY$13,$F42:$J42),"")</f>
        <v/>
      </c>
      <c r="AZ42" s="168" t="str">
        <f>IF(AND(LEN($D42)&gt;0,SUMIF($F$13:$J$13,AZ$13,$F42:$J42)&gt;0,ASISTENCIA!AW41&lt;&gt;"X",ASISTENCIA!AW41&lt;&gt;"L",ASISTENCIA!AW41&lt;&gt;"J",ASISTENCIA!AW41&lt;&gt;"F"),SUMIF($F$13:$J$13,AZ$13,$F42:$J42),"")</f>
        <v/>
      </c>
      <c r="BA42" s="168" t="str">
        <f>IF(AND(LEN($D42)&gt;0,SUMIF($F$13:$J$13,BA$13,$F42:$J42)&gt;0,ASISTENCIA!AX41&lt;&gt;"X",ASISTENCIA!AX41&lt;&gt;"L",ASISTENCIA!AX41&lt;&gt;"J",ASISTENCIA!AX41&lt;&gt;"F"),SUMIF($F$13:$J$13,BA$13,$F42:$J42),"")</f>
        <v/>
      </c>
      <c r="BB42" s="168" t="str">
        <f>IF(AND(LEN($D42)&gt;0,SUMIF($F$13:$J$13,BB$13,$F42:$J42)&gt;0,ASISTENCIA!AY41&lt;&gt;"X",ASISTENCIA!AY41&lt;&gt;"L",ASISTENCIA!AY41&lt;&gt;"J",ASISTENCIA!AY41&lt;&gt;"F"),SUMIF($F$13:$J$13,BB$13,$F42:$J42),"")</f>
        <v/>
      </c>
      <c r="BC42" s="168" t="str">
        <f>IF(AND(LEN($D42)&gt;0,SUMIF($F$13:$J$13,BC$13,$F42:$J42)&gt;0,ASISTENCIA!AZ41&lt;&gt;"X",ASISTENCIA!AZ41&lt;&gt;"L",ASISTENCIA!AZ41&lt;&gt;"J",ASISTENCIA!AZ41&lt;&gt;"F"),SUMIF($F$13:$J$13,BC$13,$F42:$J42),"")</f>
        <v/>
      </c>
      <c r="BD42" s="168" t="str">
        <f>IF(AND(LEN($D42)&gt;0,SUMIF($F$13:$J$13,BD$13,$F42:$J42)&gt;0,ASISTENCIA!BA41&lt;&gt;"X",ASISTENCIA!BA41&lt;&gt;"L",ASISTENCIA!BA41&lt;&gt;"J",ASISTENCIA!BA41&lt;&gt;"F"),SUMIF($F$13:$J$13,BD$13,$F42:$J42),"")</f>
        <v/>
      </c>
      <c r="BE42" s="168" t="str">
        <f>IF(AND(LEN($D42)&gt;0,SUMIF($F$13:$J$13,BE$13,$F42:$J42)&gt;0,ASISTENCIA!BB41&lt;&gt;"X",ASISTENCIA!BB41&lt;&gt;"L",ASISTENCIA!BB41&lt;&gt;"J",ASISTENCIA!BB41&lt;&gt;"F"),SUMIF($F$13:$J$13,BE$13,$F42:$J42),"")</f>
        <v/>
      </c>
      <c r="BF42" s="168" t="str">
        <f>IF(AND(LEN($D42)&gt;0,SUMIF($F$13:$J$13,BF$13,$F42:$J42)&gt;0,ASISTENCIA!#REF!&lt;&gt;"X",ASISTENCIA!#REF!&lt;&gt;"L",ASISTENCIA!#REF!&lt;&gt;"J",ASISTENCIA!#REF!&lt;&gt;"F"),SUMIF($F$13:$J$13,BF$13,$F42:$J42),"")</f>
        <v>#ERROR!</v>
      </c>
      <c r="BG42" s="168" t="str">
        <f>IF(AND(LEN($D42)&gt;0,SUMIF($F$13:$J$13,BG$13,$F42:$J42)&gt;0,ASISTENCIA!#REF!&lt;&gt;"X",ASISTENCIA!#REF!&lt;&gt;"L",ASISTENCIA!#REF!&lt;&gt;"J",ASISTENCIA!#REF!&lt;&gt;"F"),SUMIF($F$13:$J$13,BG$13,$F42:$J42),"")</f>
        <v>#ERROR!</v>
      </c>
      <c r="BH42" s="168" t="str">
        <f>IF(AND(LEN($D42)&gt;0,SUMIF($F$13:$J$13,BH$13,$F42:$J42)&gt;0,ASISTENCIA!BE41&lt;&gt;"X",ASISTENCIA!BE41&lt;&gt;"L",ASISTENCIA!BE41&lt;&gt;"J",ASISTENCIA!BE41&lt;&gt;"F"),SUMIF($F$13:$J$13,BH$13,$F42:$J42),"")</f>
        <v/>
      </c>
      <c r="BI42" s="168" t="str">
        <f>IF(AND(LEN($D42)&gt;0,SUMIF($F$13:$J$13,BI$13,$F42:$J42)&gt;0,ASISTENCIA!BF41&lt;&gt;"X",ASISTENCIA!BF41&lt;&gt;"L",ASISTENCIA!BF41&lt;&gt;"J",ASISTENCIA!BF41&lt;&gt;"F"),SUMIF($F$13:$J$13,BI$13,$F42:$J42),"")</f>
        <v/>
      </c>
      <c r="BJ42" s="168" t="str">
        <f>IF(AND(LEN($D42)&gt;0,SUMIF($F$13:$J$13,BJ$13,$F42:$J42)&gt;0,ASISTENCIA!BG41&lt;&gt;"X",ASISTENCIA!BG41&lt;&gt;"L",ASISTENCIA!BG41&lt;&gt;"J",ASISTENCIA!BG41&lt;&gt;"F"),SUMIF($F$13:$J$13,BJ$13,$F42:$J42),"")</f>
        <v/>
      </c>
      <c r="BK42" s="168" t="str">
        <f>IF(AND(LEN($D42)&gt;0,SUMIF($F$13:$J$13,BK$13,$F42:$J42)&gt;0,ASISTENCIA!BH41&lt;&gt;"X",ASISTENCIA!BH41&lt;&gt;"L",ASISTENCIA!BH41&lt;&gt;"J",ASISTENCIA!BH41&lt;&gt;"F"),SUMIF($F$13:$J$13,BK$13,$F42:$J42),"")</f>
        <v/>
      </c>
      <c r="BL42" s="168" t="str">
        <f>IF(AND(LEN($D42)&gt;0,SUMIF($F$13:$J$13,BL$13,$F42:$J42)&gt;0,ASISTENCIA!BI41&lt;&gt;"X",ASISTENCIA!BI41&lt;&gt;"L",ASISTENCIA!BI41&lt;&gt;"J",ASISTENCIA!BI41&lt;&gt;"F"),SUMIF($F$13:$J$13,BL$13,$F42:$J42),"")</f>
        <v/>
      </c>
      <c r="BM42" s="168" t="str">
        <f>IF(AND(LEN($D42)&gt;0,SUMIF($F$13:$J$13,BM$13,$F42:$J42)&gt;0,ASISTENCIA!BJ41&lt;&gt;"X",ASISTENCIA!BJ41&lt;&gt;"L",ASISTENCIA!BJ41&lt;&gt;"J",ASISTENCIA!BJ41&lt;&gt;"F"),SUMIF($F$13:$J$13,BM$13,$F42:$J42),"")</f>
        <v/>
      </c>
      <c r="BN42" s="168" t="str">
        <f>IF(AND(LEN($D42)&gt;0,SUMIF($F$13:$J$13,BN$13,$F42:$J42)&gt;0,ASISTENCIA!BK41&lt;&gt;"X",ASISTENCIA!BK41&lt;&gt;"L",ASISTENCIA!BK41&lt;&gt;"J",ASISTENCIA!BK41&lt;&gt;"F"),SUMIF($F$13:$J$13,BN$13,$F42:$J42),"")</f>
        <v/>
      </c>
      <c r="BO42" s="168" t="str">
        <f>IF(AND(LEN($D42)&gt;0,SUMIF($F$13:$J$13,BO$13,$F42:$J42)&gt;0,ASISTENCIA!BL41&lt;&gt;"X",ASISTENCIA!BL41&lt;&gt;"L",ASISTENCIA!BL41&lt;&gt;"J",ASISTENCIA!BL41&lt;&gt;"F"),SUMIF($F$13:$J$13,BO$13,$F42:$J42),"")</f>
        <v/>
      </c>
      <c r="BP42" s="168" t="str">
        <f>IF(AND(LEN($D42)&gt;0,SUMIF($F$13:$J$13,BP$13,$F42:$J42)&gt;0,ASISTENCIA!BM41&lt;&gt;"X",ASISTENCIA!BM41&lt;&gt;"L",ASISTENCIA!BM41&lt;&gt;"J",ASISTENCIA!BM41&lt;&gt;"F"),SUMIF($F$13:$J$13,BP$13,$F42:$J42),"")</f>
        <v/>
      </c>
      <c r="BQ42" s="168" t="str">
        <f>IF(AND(LEN($D42)&gt;0,SUMIF($F$13:$J$13,BQ$13,$F42:$J42)&gt;0,ASISTENCIA!BN41&lt;&gt;"X",ASISTENCIA!BN41&lt;&gt;"L",ASISTENCIA!BN41&lt;&gt;"J",ASISTENCIA!BN41&lt;&gt;"F"),SUMIF($F$13:$J$13,BQ$13,$F42:$J42),"")</f>
        <v/>
      </c>
      <c r="BR42" s="168" t="str">
        <f>IF(AND(LEN($D42)&gt;0,SUMIF($F$13:$J$13,BR$13,$F42:$J42)&gt;0,ASISTENCIA!BO41&lt;&gt;"X",ASISTENCIA!BO41&lt;&gt;"L",ASISTENCIA!BO41&lt;&gt;"J",ASISTENCIA!BO41&lt;&gt;"F"),SUMIF($F$13:$J$13,BR$13,$F42:$J42),"")</f>
        <v/>
      </c>
      <c r="BS42" s="168" t="str">
        <f>IF(AND(LEN($D42)&gt;0,SUMIF($F$13:$J$13,BS$13,$F42:$J42)&gt;0,ASISTENCIA!BP41&lt;&gt;"X",ASISTENCIA!BP41&lt;&gt;"L",ASISTENCIA!BP41&lt;&gt;"J",ASISTENCIA!BP41&lt;&gt;"F"),SUMIF($F$13:$J$13,BS$13,$F42:$J42),"")</f>
        <v/>
      </c>
      <c r="BT42" s="168" t="str">
        <f>IF(AND(LEN($D42)&gt;0,SUMIF($F$13:$J$13,BT$13,$F42:$J42)&gt;0,ASISTENCIA!BQ41&lt;&gt;"X",ASISTENCIA!BQ41&lt;&gt;"L",ASISTENCIA!BQ41&lt;&gt;"J",ASISTENCIA!BQ41&lt;&gt;"F"),SUMIF($F$13:$J$13,BT$13,$F42:$J42),"")</f>
        <v/>
      </c>
      <c r="BU42" s="168" t="str">
        <f>IF(AND(LEN($D42)&gt;0,SUMIF($F$13:$J$13,BU$13,$F42:$J42)&gt;0,ASISTENCIA!BR41&lt;&gt;"X",ASISTENCIA!BR41&lt;&gt;"L",ASISTENCIA!BR41&lt;&gt;"J",ASISTENCIA!BR41&lt;&gt;"F"),SUMIF($F$13:$J$13,BU$13,$F42:$J42),"")</f>
        <v/>
      </c>
      <c r="BV42" s="168" t="str">
        <f>IF(AND(LEN($D42)&gt;0,SUMIF($F$13:$J$13,BV$13,$F42:$J42)&gt;0,ASISTENCIA!BS41&lt;&gt;"X",ASISTENCIA!BS41&lt;&gt;"L",ASISTENCIA!BS41&lt;&gt;"J",ASISTENCIA!BS41&lt;&gt;"F"),SUMIF($F$13:$J$13,BV$13,$F42:$J42),"")</f>
        <v/>
      </c>
      <c r="BW42" s="168" t="str">
        <f>IF(AND(LEN($D42)&gt;0,SUMIF($F$13:$J$13,BW$13,$F42:$J42)&gt;0,ASISTENCIA!BT41&lt;&gt;"X",ASISTENCIA!BT41&lt;&gt;"L",ASISTENCIA!BT41&lt;&gt;"J",ASISTENCIA!BT41&lt;&gt;"F"),SUMIF($F$13:$J$13,BW$13,$F42:$J42),"")</f>
        <v/>
      </c>
      <c r="BX42" s="168" t="str">
        <f>IF(AND(LEN($D42)&gt;0,SUMIF($F$13:$J$13,BX$13,$F42:$J42)&gt;0,ASISTENCIA!BU41&lt;&gt;"X",ASISTENCIA!BU41&lt;&gt;"L",ASISTENCIA!BU41&lt;&gt;"J",ASISTENCIA!BU41&lt;&gt;"F"),SUMIF($F$13:$J$13,BX$13,$F42:$J42),"")</f>
        <v/>
      </c>
      <c r="BY42" s="168" t="str">
        <f>IF(AND(LEN($D42)&gt;0,SUMIF($F$13:$J$13,BY$13,$F42:$J42)&gt;0,ASISTENCIA!BV41&lt;&gt;"X",ASISTENCIA!BV41&lt;&gt;"L",ASISTENCIA!BV41&lt;&gt;"J",ASISTENCIA!BV41&lt;&gt;"F"),SUMIF($F$13:$J$13,BY$13,$F42:$J42),"")</f>
        <v/>
      </c>
      <c r="BZ42" s="168" t="str">
        <f>IF(AND(LEN($D42)&gt;0,SUMIF($F$13:$J$13,BZ$13,$F42:$J42)&gt;0,ASISTENCIA!BW41&lt;&gt;"X",ASISTENCIA!BW41&lt;&gt;"L",ASISTENCIA!BW41&lt;&gt;"J",ASISTENCIA!BW41&lt;&gt;"F"),SUMIF($F$13:$J$13,BZ$13,$F42:$J42),"")</f>
        <v/>
      </c>
      <c r="CA42" s="168" t="str">
        <f>IF(AND(LEN($D42)&gt;0,SUMIF($F$13:$J$13,CA$13,$F42:$J42)&gt;0,ASISTENCIA!BX41&lt;&gt;"X",ASISTENCIA!BX41&lt;&gt;"L",ASISTENCIA!BX41&lt;&gt;"J",ASISTENCIA!BX41&lt;&gt;"F"),SUMIF($F$13:$J$13,CA$13,$F42:$J42),"")</f>
        <v/>
      </c>
      <c r="CB42" s="168" t="str">
        <f>IF(AND(LEN($D42)&gt;0,SUMIF($F$13:$J$13,CB$13,$F42:$J42)&gt;0,ASISTENCIA!BY41&lt;&gt;"X",ASISTENCIA!BY41&lt;&gt;"L",ASISTENCIA!BY41&lt;&gt;"J",ASISTENCIA!BY41&lt;&gt;"F"),SUMIF($F$13:$J$13,CB$13,$F42:$J42),"")</f>
        <v/>
      </c>
      <c r="CC42" s="182" t="str">
        <f t="shared" si="5"/>
        <v>#ERROR!</v>
      </c>
      <c r="CD42" s="10"/>
    </row>
    <row r="43" ht="12.75" customHeight="1">
      <c r="A43" s="132" t="str">
        <f t="shared" si="6"/>
        <v>#ERROR!</v>
      </c>
      <c r="B43" s="183" t="str">
        <f>IF(LEN(C43)&gt;0,VLOOKUP($O$4,DATA!$A$1:$S$1,2,FALSE),"")</f>
        <v>#ERROR!</v>
      </c>
      <c r="C43" s="184" t="str">
        <f t="shared" si="1"/>
        <v>#ERROR!</v>
      </c>
      <c r="D43" s="136" t="str">
        <f>IF(LEN(ASISTENCIA!#REF!)&gt;0,ASISTENCIA!#REF!,"")</f>
        <v>#ERROR!</v>
      </c>
      <c r="E43" s="167" t="str">
        <f>IF(LEN(D43)&gt;0,ASISTENCIA!#REF!,"")</f>
        <v>#ERROR!</v>
      </c>
      <c r="F43" s="144"/>
      <c r="G43" s="144"/>
      <c r="H43" s="144"/>
      <c r="I43" s="144"/>
      <c r="J43" s="144"/>
      <c r="K43" s="168" t="str">
        <f t="shared" si="2"/>
        <v/>
      </c>
      <c r="L43" s="185"/>
      <c r="M43" s="168"/>
      <c r="N43" s="168" t="str">
        <f t="shared" si="3"/>
        <v>#ERROR!</v>
      </c>
      <c r="O43" s="168" t="str">
        <f>IF(AND(LEN($D43)&gt;0,SUMIF($F$13:$J$13,O$13,$F43:$J43)&gt;0,ASISTENCIA!#REF!&lt;&gt;"X",ASISTENCIA!#REF!&lt;&gt;"L",ASISTENCIA!#REF!&lt;&gt;"J",ASISTENCIA!#REF!&lt;&gt;"V",ASISTENCIA!#REF!&lt;&gt;"F",ASISTENCIA!#REF!&lt;&gt;""),SUMIF($F$13:$J$13,O$13,$F43:$J43),"")</f>
        <v>#ERROR!</v>
      </c>
      <c r="P43" s="168" t="str">
        <f>IF(AND(LEN($D43)&gt;0,SUMIF($F$13:$J$13,P$13,$F43:$J43)&gt;0,ASISTENCIA!#REF!&lt;&gt;"X",ASISTENCIA!#REF!&lt;&gt;"L",ASISTENCIA!#REF!&lt;&gt;"J",ASISTENCIA!#REF!&lt;&gt;"V",ASISTENCIA!#REF!&lt;&gt;"F",ASISTENCIA!#REF!&lt;&gt;""),SUMIF($F$13:$J$13,P$13,$F43:$J43),"")</f>
        <v>#ERROR!</v>
      </c>
      <c r="Q43" s="168" t="str">
        <f>IF(AND(LEN($D43)&gt;0,SUMIF($F$13:$J$13,Q$13,$F43:$J43)&gt;0,ASISTENCIA!#REF!&lt;&gt;"X",ASISTENCIA!#REF!&lt;&gt;"L",ASISTENCIA!#REF!&lt;&gt;"J",ASISTENCIA!#REF!&lt;&gt;"V",ASISTENCIA!#REF!&lt;&gt;"F",ASISTENCIA!#REF!&lt;&gt;""),SUMIF($F$13:$J$13,Q$13,$F43:$J43),"")</f>
        <v>#ERROR!</v>
      </c>
      <c r="R43" s="168" t="str">
        <f>IF(AND(LEN($D43)&gt;0,SUMIF($F$13:$J$13,R$13,$F43:$J43)&gt;0,ASISTENCIA!#REF!&lt;&gt;"X",ASISTENCIA!#REF!&lt;&gt;"L",ASISTENCIA!#REF!&lt;&gt;"J",ASISTENCIA!#REF!&lt;&gt;"V",ASISTENCIA!#REF!&lt;&gt;"F",ASISTENCIA!#REF!&lt;&gt;""),SUMIF($F$13:$J$13,R$13,$F43:$J43),"")</f>
        <v>#ERROR!</v>
      </c>
      <c r="S43" s="168" t="str">
        <f>IF(AND(LEN($D43)&gt;0,SUMIF($F$13:$J$13,S$13,$F43:$J43)&gt;0,ASISTENCIA!#REF!&lt;&gt;"X",ASISTENCIA!#REF!&lt;&gt;"L",ASISTENCIA!#REF!&lt;&gt;"J",ASISTENCIA!#REF!&lt;&gt;"V",ASISTENCIA!#REF!&lt;&gt;"F",ASISTENCIA!#REF!&lt;&gt;""),SUMIF($F$13:$J$13,S$13,$F43:$J43),"")</f>
        <v>#ERROR!</v>
      </c>
      <c r="T43" s="168" t="str">
        <f>IF(AND(LEN($D43)&gt;0,SUMIF($F$13:$J$13,T$13,$F43:$J43)&gt;0,ASISTENCIA!#REF!&lt;&gt;"X",ASISTENCIA!#REF!&lt;&gt;"L",ASISTENCIA!#REF!&lt;&gt;"J",ASISTENCIA!#REF!&lt;&gt;"V",ASISTENCIA!#REF!&lt;&gt;"F",ASISTENCIA!#REF!&lt;&gt;""),SUMIF($F$13:$J$13,T$13,$F43:$J43),"")</f>
        <v>#ERROR!</v>
      </c>
      <c r="U43" s="168" t="str">
        <f>IF(AND(LEN($D43)&gt;0,SUMIF($F$13:$J$13,U$13,$F43:$J43)&gt;0,ASISTENCIA!#REF!&lt;&gt;"X",ASISTENCIA!#REF!&lt;&gt;"L",ASISTENCIA!#REF!&lt;&gt;"J",ASISTENCIA!#REF!&lt;&gt;"V",ASISTENCIA!#REF!&lt;&gt;"F",ASISTENCIA!#REF!&lt;&gt;""),SUMIF($F$13:$J$13,U$13,$F43:$J43),"")</f>
        <v>#ERROR!</v>
      </c>
      <c r="V43" s="168" t="str">
        <f>IF(AND(LEN($D43)&gt;0,SUMIF($F$13:$J$13,V$13,$F43:$J43)&gt;0,ASISTENCIA!#REF!&lt;&gt;"X",ASISTENCIA!#REF!&lt;&gt;"L",ASISTENCIA!#REF!&lt;&gt;"J",ASISTENCIA!#REF!&lt;&gt;"V",ASISTENCIA!#REF!&lt;&gt;"F",ASISTENCIA!#REF!&lt;&gt;""),SUMIF($F$13:$J$13,V$13,$F43:$J43),"")</f>
        <v>#ERROR!</v>
      </c>
      <c r="W43" s="168" t="str">
        <f>IF(AND(LEN($D43)&gt;0,SUMIF($F$13:$J$13,W$13,$F43:$J43)&gt;0,ASISTENCIA!#REF!&lt;&gt;"X",ASISTENCIA!#REF!&lt;&gt;"L",ASISTENCIA!#REF!&lt;&gt;"J",ASISTENCIA!#REF!&lt;&gt;"V",ASISTENCIA!#REF!&lt;&gt;"F",ASISTENCIA!#REF!&lt;&gt;""),SUMIF($F$13:$J$13,W$13,$F43:$J43),"")</f>
        <v>#ERROR!</v>
      </c>
      <c r="X43" s="168" t="str">
        <f>IF(AND(LEN($D43)&gt;0,SUMIF($F$13:$J$13,X$13,$F43:$J43)&gt;0,ASISTENCIA!#REF!&lt;&gt;"X",ASISTENCIA!#REF!&lt;&gt;"L",ASISTENCIA!#REF!&lt;&gt;"J",ASISTENCIA!#REF!&lt;&gt;"V",ASISTENCIA!#REF!&lt;&gt;"F",ASISTENCIA!#REF!&lt;&gt;""),SUMIF($F$13:$J$13,X$13,$F43:$J43),"")</f>
        <v>#ERROR!</v>
      </c>
      <c r="Y43" s="168" t="str">
        <f>IF(AND(LEN($D43)&gt;0,SUMIF($F$13:$J$13,Y$13,$F43:$J43)&gt;0,ASISTENCIA!#REF!&lt;&gt;"X",ASISTENCIA!#REF!&lt;&gt;"L",ASISTENCIA!#REF!&lt;&gt;"J",ASISTENCIA!#REF!&lt;&gt;"V",ASISTENCIA!#REF!&lt;&gt;"F",ASISTENCIA!#REF!&lt;&gt;""),SUMIF($F$13:$J$13,Y$13,$F43:$J43),"")</f>
        <v>#ERROR!</v>
      </c>
      <c r="Z43" s="168" t="str">
        <f>IF(AND(LEN($D43)&gt;0,SUMIF($F$13:$J$13,Z$13,$F43:$J43)&gt;0,ASISTENCIA!#REF!&lt;&gt;"X",ASISTENCIA!#REF!&lt;&gt;"L",ASISTENCIA!#REF!&lt;&gt;"J",ASISTENCIA!#REF!&lt;&gt;"V",ASISTENCIA!#REF!&lt;&gt;"F",ASISTENCIA!#REF!&lt;&gt;""),SUMIF($F$13:$J$13,Z$13,$F43:$J43),"")</f>
        <v>#ERROR!</v>
      </c>
      <c r="AA43" s="168" t="str">
        <f>IF(AND(LEN($D43)&gt;0,SUMIF($F$13:$J$13,AA$13,$F43:$J43)&gt;0,ASISTENCIA!#REF!&lt;&gt;"X",ASISTENCIA!#REF!&lt;&gt;"L",ASISTENCIA!#REF!&lt;&gt;"J",ASISTENCIA!#REF!&lt;&gt;"V",ASISTENCIA!#REF!&lt;&gt;"F",ASISTENCIA!#REF!&lt;&gt;""),SUMIF($F$13:$J$13,AA$13,$F43:$J43),"")</f>
        <v>#ERROR!</v>
      </c>
      <c r="AB43" s="168" t="str">
        <f>IF(AND(LEN($D43)&gt;0,SUMIF($F$13:$J$13,AB$13,$F43:$J43)&gt;0,ASISTENCIA!#REF!&lt;&gt;"X",ASISTENCIA!#REF!&lt;&gt;"L",ASISTENCIA!#REF!&lt;&gt;"J",ASISTENCIA!#REF!&lt;&gt;"V",ASISTENCIA!#REF!&lt;&gt;"F",ASISTENCIA!#REF!&lt;&gt;""),SUMIF($F$13:$J$13,AB$13,$F43:$J43),"")</f>
        <v>#ERROR!</v>
      </c>
      <c r="AC43" s="168" t="str">
        <f>IF(AND(LEN($D43)&gt;0,SUMIF($F$13:$J$13,AC$13,$F43:$J43)&gt;0,ASISTENCIA!#REF!&lt;&gt;"X",ASISTENCIA!#REF!&lt;&gt;"L",ASISTENCIA!#REF!&lt;&gt;"J",ASISTENCIA!#REF!&lt;&gt;"V",ASISTENCIA!#REF!&lt;&gt;"F",ASISTENCIA!#REF!&lt;&gt;""),SUMIF($F$13:$J$13,AC$13,$F43:$J43),"")</f>
        <v>#ERROR!</v>
      </c>
      <c r="AD43" s="168" t="str">
        <f>IF(AND(LEN($D43)&gt;0,SUMIF($F$13:$J$13,AD$13,$F43:$J43)&gt;0,ASISTENCIA!#REF!&lt;&gt;"X",ASISTENCIA!#REF!&lt;&gt;"L",ASISTENCIA!#REF!&lt;&gt;"J",ASISTENCIA!#REF!&lt;&gt;"V",ASISTENCIA!#REF!&lt;&gt;"F",ASISTENCIA!#REF!&lt;&gt;""),SUMIF($F$13:$J$13,AD$13,$F43:$J43),"")</f>
        <v>#ERROR!</v>
      </c>
      <c r="AE43" s="168" t="str">
        <f>IF(AND(LEN($D43)&gt;0,SUMIF($F$13:$J$13,AE$13,$F43:$J43)&gt;0,ASISTENCIA!#REF!&lt;&gt;"X",ASISTENCIA!#REF!&lt;&gt;"L",ASISTENCIA!#REF!&lt;&gt;"J",ASISTENCIA!#REF!&lt;&gt;"V",ASISTENCIA!#REF!&lt;&gt;"F",ASISTENCIA!#REF!&lt;&gt;""),SUMIF($F$13:$J$13,AE$13,$F43:$J43),"")</f>
        <v>#ERROR!</v>
      </c>
      <c r="AF43" s="168" t="str">
        <f>IF(AND(LEN($D43)&gt;0,SUMIF($F$13:$J$13,AF$13,$F43:$J43)&gt;0,ASISTENCIA!#REF!&lt;&gt;"X",ASISTENCIA!#REF!&lt;&gt;"L",ASISTENCIA!#REF!&lt;&gt;"J",ASISTENCIA!#REF!&lt;&gt;"V",ASISTENCIA!#REF!&lt;&gt;"F",ASISTENCIA!#REF!&lt;&gt;""),SUMIF($F$13:$J$13,AF$13,$F43:$J43),"")</f>
        <v>#ERROR!</v>
      </c>
      <c r="AG43" s="168" t="str">
        <f>IF(AND(LEN($D43)&gt;0,SUMIF($F$13:$J$13,AG$13,$F43:$J43)&gt;0,ASISTENCIA!#REF!&lt;&gt;"X",ASISTENCIA!#REF!&lt;&gt;"L",ASISTENCIA!#REF!&lt;&gt;"J",ASISTENCIA!#REF!&lt;&gt;"V",ASISTENCIA!#REF!&lt;&gt;"F",ASISTENCIA!#REF!&lt;&gt;""),SUMIF($F$13:$J$13,AG$13,$F43:$J43),"")</f>
        <v>#ERROR!</v>
      </c>
      <c r="AH43" s="168" t="str">
        <f>IF(AND(LEN($D43)&gt;0,SUMIF($F$13:$J$13,AH$13,$F43:$J43)&gt;0,ASISTENCIA!#REF!&lt;&gt;"X",ASISTENCIA!#REF!&lt;&gt;"L",ASISTENCIA!#REF!&lt;&gt;"J",ASISTENCIA!#REF!&lt;&gt;"V",ASISTENCIA!#REF!&lt;&gt;"F",ASISTENCIA!#REF!&lt;&gt;""),SUMIF($F$13:$J$13,AH$13,$F43:$J43),"")</f>
        <v>#ERROR!</v>
      </c>
      <c r="AI43" s="168" t="str">
        <f>IF(AND(LEN($D43)&gt;0,SUMIF($F$13:$J$13,AI$13,$F43:$J43)&gt;0,ASISTENCIA!#REF!&lt;&gt;"X",ASISTENCIA!#REF!&lt;&gt;"L",ASISTENCIA!#REF!&lt;&gt;"J",ASISTENCIA!#REF!&lt;&gt;"V",ASISTENCIA!#REF!&lt;&gt;"F",ASISTENCIA!#REF!&lt;&gt;""),SUMIF($F$13:$J$13,AI$13,$F43:$J43),"")</f>
        <v>#ERROR!</v>
      </c>
      <c r="AJ43" s="168" t="str">
        <f>IF(AND(LEN($D43)&gt;0,SUMIF($F$13:$J$13,AJ$13,$F43:$J43)&gt;0,ASISTENCIA!#REF!&lt;&gt;"X",ASISTENCIA!#REF!&lt;&gt;"L",ASISTENCIA!#REF!&lt;&gt;"J",ASISTENCIA!#REF!&lt;&gt;"V",ASISTENCIA!#REF!&lt;&gt;"F",ASISTENCIA!#REF!&lt;&gt;""),SUMIF($F$13:$J$13,AJ$13,$F43:$J43),"")</f>
        <v>#ERROR!</v>
      </c>
      <c r="AK43" s="168" t="str">
        <f>IF(AND(LEN($D43)&gt;0,SUMIF($F$13:$J$13,AK$13,$F43:$J43)&gt;0,ASISTENCIA!#REF!&lt;&gt;"X",ASISTENCIA!#REF!&lt;&gt;"L",ASISTENCIA!#REF!&lt;&gt;"J",ASISTENCIA!#REF!&lt;&gt;"V",ASISTENCIA!#REF!&lt;&gt;"F",ASISTENCIA!#REF!&lt;&gt;""),SUMIF($F$13:$J$13,AK$13,$F43:$J43),"")</f>
        <v>#ERROR!</v>
      </c>
      <c r="AL43" s="168" t="str">
        <f>IF(AND(LEN($D43)&gt;0,SUMIF($F$13:$J$13,AL$13,$F43:$J43)&gt;0,ASISTENCIA!#REF!&lt;&gt;"X",ASISTENCIA!#REF!&lt;&gt;"L",ASISTENCIA!#REF!&lt;&gt;"J",ASISTENCIA!#REF!&lt;&gt;"V",ASISTENCIA!#REF!&lt;&gt;"F",ASISTENCIA!#REF!&lt;&gt;""),SUMIF($F$13:$J$13,AL$13,$F43:$J43),"")</f>
        <v>#ERROR!</v>
      </c>
      <c r="AM43" s="168" t="str">
        <f>IF(AND(LEN($D43)&gt;0,SUMIF($F$13:$J$13,AM$13,$F43:$J43)&gt;0,ASISTENCIA!#REF!&lt;&gt;"X",ASISTENCIA!#REF!&lt;&gt;"L",ASISTENCIA!#REF!&lt;&gt;"J",ASISTENCIA!#REF!&lt;&gt;"V",ASISTENCIA!#REF!&lt;&gt;"F",ASISTENCIA!#REF!&lt;&gt;""),SUMIF($F$13:$J$13,AM$13,$F43:$J43),"")</f>
        <v>#ERROR!</v>
      </c>
      <c r="AN43" s="168" t="str">
        <f>IF(AND(LEN($D43)&gt;0,SUMIF($F$13:$J$13,AN$13,$F43:$J43)&gt;0,ASISTENCIA!#REF!&lt;&gt;"X",ASISTENCIA!#REF!&lt;&gt;"L",ASISTENCIA!#REF!&lt;&gt;"J",ASISTENCIA!#REF!&lt;&gt;"V",ASISTENCIA!#REF!&lt;&gt;"F",ASISTENCIA!#REF!&lt;&gt;""),SUMIF($F$13:$J$13,AN$13,$F43:$J43),"")</f>
        <v>#ERROR!</v>
      </c>
      <c r="AO43" s="168" t="str">
        <f>IF(AND(LEN($D43)&gt;0,SUMIF($F$13:$J$13,AO$13,$F43:$J43)&gt;0,ASISTENCIA!#REF!&lt;&gt;"X",ASISTENCIA!#REF!&lt;&gt;"L",ASISTENCIA!#REF!&lt;&gt;"J",ASISTENCIA!#REF!&lt;&gt;"V",ASISTENCIA!#REF!&lt;&gt;"F",ASISTENCIA!#REF!&lt;&gt;""),SUMIF($F$13:$J$13,AO$13,$F43:$J43),"")</f>
        <v>#ERROR!</v>
      </c>
      <c r="AP43" s="168" t="str">
        <f>IF(AND(LEN($D43)&gt;0,SUMIF($F$13:$J$13,AP$13,$F43:$J43)&gt;0,ASISTENCIA!#REF!&lt;&gt;"X",ASISTENCIA!#REF!&lt;&gt;"L",ASISTENCIA!#REF!&lt;&gt;"J",ASISTENCIA!#REF!&lt;&gt;"V",ASISTENCIA!#REF!&lt;&gt;"F",ASISTENCIA!#REF!&lt;&gt;""),SUMIF($F$13:$J$13,AP$13,$F43:$J43),"")</f>
        <v>#ERROR!</v>
      </c>
      <c r="AQ43" s="168" t="str">
        <f>IF(AND(LEN($D43)&gt;0,SUMIF($F$13:$J$13,AQ$13,$F43:$J43)&gt;0,ASISTENCIA!#REF!&lt;&gt;"X",ASISTENCIA!#REF!&lt;&gt;"L",ASISTENCIA!#REF!&lt;&gt;"J",ASISTENCIA!#REF!&lt;&gt;"V",ASISTENCIA!#REF!&lt;&gt;"F",ASISTENCIA!#REF!&lt;&gt;""),SUMIF($F$13:$J$13,AQ$13,$F43:$J43),"")</f>
        <v>#ERROR!</v>
      </c>
      <c r="AR43" s="168" t="str">
        <f>IF(AND(LEN($D43)&gt;0,SUMIF($F$13:$J$13,AR$13,$F43:$J43)&gt;0,ASISTENCIA!#REF!&lt;&gt;"X",ASISTENCIA!#REF!&lt;&gt;"L",ASISTENCIA!#REF!&lt;&gt;"J",ASISTENCIA!#REF!&lt;&gt;"V",ASISTENCIA!#REF!&lt;&gt;"F",ASISTENCIA!#REF!&lt;&gt;""),SUMIF($F$13:$J$13,AR$13,$F43:$J43),"")</f>
        <v>#ERROR!</v>
      </c>
      <c r="AS43" s="168" t="str">
        <f>IF(AND(LEN($D43)&gt;0,SUMIF($F$13:$J$13,AS$13,$F43:$J43)&gt;0,ASISTENCIA!#REF!&lt;&gt;"X",ASISTENCIA!#REF!&lt;&gt;"L",ASISTENCIA!#REF!&lt;&gt;"J",ASISTENCIA!#REF!&lt;&gt;"V",ASISTENCIA!#REF!&lt;&gt;"F",ASISTENCIA!#REF!&lt;&gt;""),SUMIF($F$13:$J$13,AS$13,$F43:$J43),"")</f>
        <v>#ERROR!</v>
      </c>
      <c r="AT43" s="182" t="str">
        <f t="shared" si="4"/>
        <v>#ERROR!</v>
      </c>
      <c r="AU43" s="10"/>
      <c r="AV43" s="10"/>
      <c r="AW43" s="10"/>
      <c r="AX43" s="168" t="str">
        <f>IF(AND(LEN($D43)&gt;0,SUMIF($F$13:$J$13,AX$13,$F43:$J43)&gt;0,ASISTENCIA!#REF!&lt;&gt;"X",ASISTENCIA!#REF!&lt;&gt;"L",ASISTENCIA!#REF!&lt;&gt;"J",ASISTENCIA!#REF!&lt;&gt;"F"),SUMIF($F$13:$J$13,AX$13,$F43:$J43),"")</f>
        <v>#ERROR!</v>
      </c>
      <c r="AY43" s="168" t="str">
        <f>IF(AND(LEN($D43)&gt;0,SUMIF($F$13:$J$13,AY$13,$F43:$J43)&gt;0,ASISTENCIA!#REF!&lt;&gt;"X",ASISTENCIA!#REF!&lt;&gt;"L",ASISTENCIA!#REF!&lt;&gt;"J",ASISTENCIA!#REF!&lt;&gt;"F"),SUMIF($F$13:$J$13,AY$13,$F43:$J43),"")</f>
        <v>#ERROR!</v>
      </c>
      <c r="AZ43" s="168" t="str">
        <f>IF(AND(LEN($D43)&gt;0,SUMIF($F$13:$J$13,AZ$13,$F43:$J43)&gt;0,ASISTENCIA!#REF!&lt;&gt;"X",ASISTENCIA!#REF!&lt;&gt;"L",ASISTENCIA!#REF!&lt;&gt;"J",ASISTENCIA!#REF!&lt;&gt;"F"),SUMIF($F$13:$J$13,AZ$13,$F43:$J43),"")</f>
        <v>#ERROR!</v>
      </c>
      <c r="BA43" s="168" t="str">
        <f>IF(AND(LEN($D43)&gt;0,SUMIF($F$13:$J$13,BA$13,$F43:$J43)&gt;0,ASISTENCIA!#REF!&lt;&gt;"X",ASISTENCIA!#REF!&lt;&gt;"L",ASISTENCIA!#REF!&lt;&gt;"J",ASISTENCIA!#REF!&lt;&gt;"F"),SUMIF($F$13:$J$13,BA$13,$F43:$J43),"")</f>
        <v>#ERROR!</v>
      </c>
      <c r="BB43" s="168" t="str">
        <f>IF(AND(LEN($D43)&gt;0,SUMIF($F$13:$J$13,BB$13,$F43:$J43)&gt;0,ASISTENCIA!#REF!&lt;&gt;"X",ASISTENCIA!#REF!&lt;&gt;"L",ASISTENCIA!#REF!&lt;&gt;"J",ASISTENCIA!#REF!&lt;&gt;"F"),SUMIF($F$13:$J$13,BB$13,$F43:$J43),"")</f>
        <v>#ERROR!</v>
      </c>
      <c r="BC43" s="168" t="str">
        <f>IF(AND(LEN($D43)&gt;0,SUMIF($F$13:$J$13,BC$13,$F43:$J43)&gt;0,ASISTENCIA!#REF!&lt;&gt;"X",ASISTENCIA!#REF!&lt;&gt;"L",ASISTENCIA!#REF!&lt;&gt;"J",ASISTENCIA!#REF!&lt;&gt;"F"),SUMIF($F$13:$J$13,BC$13,$F43:$J43),"")</f>
        <v>#ERROR!</v>
      </c>
      <c r="BD43" s="168" t="str">
        <f>IF(AND(LEN($D43)&gt;0,SUMIF($F$13:$J$13,BD$13,$F43:$J43)&gt;0,ASISTENCIA!#REF!&lt;&gt;"X",ASISTENCIA!#REF!&lt;&gt;"L",ASISTENCIA!#REF!&lt;&gt;"J",ASISTENCIA!#REF!&lt;&gt;"F"),SUMIF($F$13:$J$13,BD$13,$F43:$J43),"")</f>
        <v>#ERROR!</v>
      </c>
      <c r="BE43" s="168" t="str">
        <f>IF(AND(LEN($D43)&gt;0,SUMIF($F$13:$J$13,BE$13,$F43:$J43)&gt;0,ASISTENCIA!#REF!&lt;&gt;"X",ASISTENCIA!#REF!&lt;&gt;"L",ASISTENCIA!#REF!&lt;&gt;"J",ASISTENCIA!#REF!&lt;&gt;"F"),SUMIF($F$13:$J$13,BE$13,$F43:$J43),"")</f>
        <v>#ERROR!</v>
      </c>
      <c r="BF43" s="168" t="str">
        <f>IF(AND(LEN($D43)&gt;0,SUMIF($F$13:$J$13,BF$13,$F43:$J43)&gt;0,ASISTENCIA!#REF!&lt;&gt;"X",ASISTENCIA!#REF!&lt;&gt;"L",ASISTENCIA!#REF!&lt;&gt;"J",ASISTENCIA!#REF!&lt;&gt;"F"),SUMIF($F$13:$J$13,BF$13,$F43:$J43),"")</f>
        <v>#ERROR!</v>
      </c>
      <c r="BG43" s="168" t="str">
        <f>IF(AND(LEN($D43)&gt;0,SUMIF($F$13:$J$13,BG$13,$F43:$J43)&gt;0,ASISTENCIA!#REF!&lt;&gt;"X",ASISTENCIA!#REF!&lt;&gt;"L",ASISTENCIA!#REF!&lt;&gt;"J",ASISTENCIA!#REF!&lt;&gt;"F"),SUMIF($F$13:$J$13,BG$13,$F43:$J43),"")</f>
        <v>#ERROR!</v>
      </c>
      <c r="BH43" s="168" t="str">
        <f>IF(AND(LEN($D43)&gt;0,SUMIF($F$13:$J$13,BH$13,$F43:$J43)&gt;0,ASISTENCIA!#REF!&lt;&gt;"X",ASISTENCIA!#REF!&lt;&gt;"L",ASISTENCIA!#REF!&lt;&gt;"J",ASISTENCIA!#REF!&lt;&gt;"F"),SUMIF($F$13:$J$13,BH$13,$F43:$J43),"")</f>
        <v>#ERROR!</v>
      </c>
      <c r="BI43" s="168" t="str">
        <f>IF(AND(LEN($D43)&gt;0,SUMIF($F$13:$J$13,BI$13,$F43:$J43)&gt;0,ASISTENCIA!#REF!&lt;&gt;"X",ASISTENCIA!#REF!&lt;&gt;"L",ASISTENCIA!#REF!&lt;&gt;"J",ASISTENCIA!#REF!&lt;&gt;"F"),SUMIF($F$13:$J$13,BI$13,$F43:$J43),"")</f>
        <v>#ERROR!</v>
      </c>
      <c r="BJ43" s="168" t="str">
        <f>IF(AND(LEN($D43)&gt;0,SUMIF($F$13:$J$13,BJ$13,$F43:$J43)&gt;0,ASISTENCIA!#REF!&lt;&gt;"X",ASISTENCIA!#REF!&lt;&gt;"L",ASISTENCIA!#REF!&lt;&gt;"J",ASISTENCIA!#REF!&lt;&gt;"F"),SUMIF($F$13:$J$13,BJ$13,$F43:$J43),"")</f>
        <v>#ERROR!</v>
      </c>
      <c r="BK43" s="168" t="str">
        <f>IF(AND(LEN($D43)&gt;0,SUMIF($F$13:$J$13,BK$13,$F43:$J43)&gt;0,ASISTENCIA!#REF!&lt;&gt;"X",ASISTENCIA!#REF!&lt;&gt;"L",ASISTENCIA!#REF!&lt;&gt;"J",ASISTENCIA!#REF!&lt;&gt;"F"),SUMIF($F$13:$J$13,BK$13,$F43:$J43),"")</f>
        <v>#ERROR!</v>
      </c>
      <c r="BL43" s="168" t="str">
        <f>IF(AND(LEN($D43)&gt;0,SUMIF($F$13:$J$13,BL$13,$F43:$J43)&gt;0,ASISTENCIA!#REF!&lt;&gt;"X",ASISTENCIA!#REF!&lt;&gt;"L",ASISTENCIA!#REF!&lt;&gt;"J",ASISTENCIA!#REF!&lt;&gt;"F"),SUMIF($F$13:$J$13,BL$13,$F43:$J43),"")</f>
        <v>#ERROR!</v>
      </c>
      <c r="BM43" s="168" t="str">
        <f>IF(AND(LEN($D43)&gt;0,SUMIF($F$13:$J$13,BM$13,$F43:$J43)&gt;0,ASISTENCIA!#REF!&lt;&gt;"X",ASISTENCIA!#REF!&lt;&gt;"L",ASISTENCIA!#REF!&lt;&gt;"J",ASISTENCIA!#REF!&lt;&gt;"F"),SUMIF($F$13:$J$13,BM$13,$F43:$J43),"")</f>
        <v>#ERROR!</v>
      </c>
      <c r="BN43" s="168" t="str">
        <f>IF(AND(LEN($D43)&gt;0,SUMIF($F$13:$J$13,BN$13,$F43:$J43)&gt;0,ASISTENCIA!#REF!&lt;&gt;"X",ASISTENCIA!#REF!&lt;&gt;"L",ASISTENCIA!#REF!&lt;&gt;"J",ASISTENCIA!#REF!&lt;&gt;"F"),SUMIF($F$13:$J$13,BN$13,$F43:$J43),"")</f>
        <v>#ERROR!</v>
      </c>
      <c r="BO43" s="168" t="str">
        <f>IF(AND(LEN($D43)&gt;0,SUMIF($F$13:$J$13,BO$13,$F43:$J43)&gt;0,ASISTENCIA!#REF!&lt;&gt;"X",ASISTENCIA!#REF!&lt;&gt;"L",ASISTENCIA!#REF!&lt;&gt;"J",ASISTENCIA!#REF!&lt;&gt;"F"),SUMIF($F$13:$J$13,BO$13,$F43:$J43),"")</f>
        <v>#ERROR!</v>
      </c>
      <c r="BP43" s="168" t="str">
        <f>IF(AND(LEN($D43)&gt;0,SUMIF($F$13:$J$13,BP$13,$F43:$J43)&gt;0,ASISTENCIA!#REF!&lt;&gt;"X",ASISTENCIA!#REF!&lt;&gt;"L",ASISTENCIA!#REF!&lt;&gt;"J",ASISTENCIA!#REF!&lt;&gt;"F"),SUMIF($F$13:$J$13,BP$13,$F43:$J43),"")</f>
        <v>#ERROR!</v>
      </c>
      <c r="BQ43" s="168" t="str">
        <f>IF(AND(LEN($D43)&gt;0,SUMIF($F$13:$J$13,BQ$13,$F43:$J43)&gt;0,ASISTENCIA!#REF!&lt;&gt;"X",ASISTENCIA!#REF!&lt;&gt;"L",ASISTENCIA!#REF!&lt;&gt;"J",ASISTENCIA!#REF!&lt;&gt;"F"),SUMIF($F$13:$J$13,BQ$13,$F43:$J43),"")</f>
        <v>#ERROR!</v>
      </c>
      <c r="BR43" s="168" t="str">
        <f>IF(AND(LEN($D43)&gt;0,SUMIF($F$13:$J$13,BR$13,$F43:$J43)&gt;0,ASISTENCIA!#REF!&lt;&gt;"X",ASISTENCIA!#REF!&lt;&gt;"L",ASISTENCIA!#REF!&lt;&gt;"J",ASISTENCIA!#REF!&lt;&gt;"F"),SUMIF($F$13:$J$13,BR$13,$F43:$J43),"")</f>
        <v>#ERROR!</v>
      </c>
      <c r="BS43" s="168" t="str">
        <f>IF(AND(LEN($D43)&gt;0,SUMIF($F$13:$J$13,BS$13,$F43:$J43)&gt;0,ASISTENCIA!#REF!&lt;&gt;"X",ASISTENCIA!#REF!&lt;&gt;"L",ASISTENCIA!#REF!&lt;&gt;"J",ASISTENCIA!#REF!&lt;&gt;"F"),SUMIF($F$13:$J$13,BS$13,$F43:$J43),"")</f>
        <v>#ERROR!</v>
      </c>
      <c r="BT43" s="168" t="str">
        <f>IF(AND(LEN($D43)&gt;0,SUMIF($F$13:$J$13,BT$13,$F43:$J43)&gt;0,ASISTENCIA!#REF!&lt;&gt;"X",ASISTENCIA!#REF!&lt;&gt;"L",ASISTENCIA!#REF!&lt;&gt;"J",ASISTENCIA!#REF!&lt;&gt;"F"),SUMIF($F$13:$J$13,BT$13,$F43:$J43),"")</f>
        <v>#ERROR!</v>
      </c>
      <c r="BU43" s="168" t="str">
        <f>IF(AND(LEN($D43)&gt;0,SUMIF($F$13:$J$13,BU$13,$F43:$J43)&gt;0,ASISTENCIA!#REF!&lt;&gt;"X",ASISTENCIA!#REF!&lt;&gt;"L",ASISTENCIA!#REF!&lt;&gt;"J",ASISTENCIA!#REF!&lt;&gt;"F"),SUMIF($F$13:$J$13,BU$13,$F43:$J43),"")</f>
        <v>#ERROR!</v>
      </c>
      <c r="BV43" s="168" t="str">
        <f>IF(AND(LEN($D43)&gt;0,SUMIF($F$13:$J$13,BV$13,$F43:$J43)&gt;0,ASISTENCIA!#REF!&lt;&gt;"X",ASISTENCIA!#REF!&lt;&gt;"L",ASISTENCIA!#REF!&lt;&gt;"J",ASISTENCIA!#REF!&lt;&gt;"F"),SUMIF($F$13:$J$13,BV$13,$F43:$J43),"")</f>
        <v>#ERROR!</v>
      </c>
      <c r="BW43" s="168" t="str">
        <f>IF(AND(LEN($D43)&gt;0,SUMIF($F$13:$J$13,BW$13,$F43:$J43)&gt;0,ASISTENCIA!#REF!&lt;&gt;"X",ASISTENCIA!#REF!&lt;&gt;"L",ASISTENCIA!#REF!&lt;&gt;"J",ASISTENCIA!#REF!&lt;&gt;"F"),SUMIF($F$13:$J$13,BW$13,$F43:$J43),"")</f>
        <v>#ERROR!</v>
      </c>
      <c r="BX43" s="168" t="str">
        <f>IF(AND(LEN($D43)&gt;0,SUMIF($F$13:$J$13,BX$13,$F43:$J43)&gt;0,ASISTENCIA!#REF!&lt;&gt;"X",ASISTENCIA!#REF!&lt;&gt;"L",ASISTENCIA!#REF!&lt;&gt;"J",ASISTENCIA!#REF!&lt;&gt;"F"),SUMIF($F$13:$J$13,BX$13,$F43:$J43),"")</f>
        <v>#ERROR!</v>
      </c>
      <c r="BY43" s="168" t="str">
        <f>IF(AND(LEN($D43)&gt;0,SUMIF($F$13:$J$13,BY$13,$F43:$J43)&gt;0,ASISTENCIA!#REF!&lt;&gt;"X",ASISTENCIA!#REF!&lt;&gt;"L",ASISTENCIA!#REF!&lt;&gt;"J",ASISTENCIA!#REF!&lt;&gt;"F"),SUMIF($F$13:$J$13,BY$13,$F43:$J43),"")</f>
        <v>#ERROR!</v>
      </c>
      <c r="BZ43" s="168" t="str">
        <f>IF(AND(LEN($D43)&gt;0,SUMIF($F$13:$J$13,BZ$13,$F43:$J43)&gt;0,ASISTENCIA!#REF!&lt;&gt;"X",ASISTENCIA!#REF!&lt;&gt;"L",ASISTENCIA!#REF!&lt;&gt;"J",ASISTENCIA!#REF!&lt;&gt;"F"),SUMIF($F$13:$J$13,BZ$13,$F43:$J43),"")</f>
        <v>#ERROR!</v>
      </c>
      <c r="CA43" s="168" t="str">
        <f>IF(AND(LEN($D43)&gt;0,SUMIF($F$13:$J$13,CA$13,$F43:$J43)&gt;0,ASISTENCIA!#REF!&lt;&gt;"X",ASISTENCIA!#REF!&lt;&gt;"L",ASISTENCIA!#REF!&lt;&gt;"J",ASISTENCIA!#REF!&lt;&gt;"F"),SUMIF($F$13:$J$13,CA$13,$F43:$J43),"")</f>
        <v>#ERROR!</v>
      </c>
      <c r="CB43" s="168" t="str">
        <f>IF(AND(LEN($D43)&gt;0,SUMIF($F$13:$J$13,CB$13,$F43:$J43)&gt;0,ASISTENCIA!#REF!&lt;&gt;"X",ASISTENCIA!#REF!&lt;&gt;"L",ASISTENCIA!#REF!&lt;&gt;"J",ASISTENCIA!#REF!&lt;&gt;"F"),SUMIF($F$13:$J$13,CB$13,$F43:$J43),"")</f>
        <v>#ERROR!</v>
      </c>
      <c r="CC43" s="182" t="str">
        <f t="shared" si="5"/>
        <v>#ERROR!</v>
      </c>
      <c r="CD43" s="10"/>
    </row>
    <row r="44" ht="7.5" customHeight="1">
      <c r="A44" s="72"/>
      <c r="B44" s="72"/>
      <c r="C44" s="72"/>
      <c r="D44" s="218"/>
      <c r="E44" s="75"/>
      <c r="F44" s="74"/>
      <c r="G44" s="74"/>
      <c r="H44" s="74"/>
      <c r="I44" s="74"/>
      <c r="J44" s="74"/>
      <c r="K44" s="74"/>
      <c r="L44" s="74"/>
      <c r="M44" s="74"/>
      <c r="N44" s="3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3"/>
      <c r="AU44" s="10"/>
      <c r="AV44" s="10"/>
      <c r="AW44" s="10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3"/>
      <c r="CD44" s="10"/>
    </row>
    <row r="45" ht="12.75" customHeight="1">
      <c r="A45" s="74" t="s">
        <v>1163</v>
      </c>
      <c r="B45" s="74"/>
      <c r="C45" s="219"/>
      <c r="D45" s="74"/>
      <c r="E45" s="75"/>
      <c r="F45" s="74"/>
      <c r="G45" s="74"/>
      <c r="H45" s="74"/>
      <c r="I45" s="74"/>
      <c r="J45" s="74"/>
      <c r="K45" s="74"/>
      <c r="L45" s="74"/>
      <c r="M45" s="74"/>
      <c r="N45" s="220" t="str">
        <f>SUM(N14:N43)</f>
        <v>#ERROR!</v>
      </c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220" t="str">
        <f>SUM(AT14:AT43)</f>
        <v>#ERROR!</v>
      </c>
      <c r="AU45" s="10"/>
      <c r="AV45" s="10"/>
      <c r="AW45" s="10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4"/>
      <c r="BZ45" s="74"/>
      <c r="CA45" s="74"/>
      <c r="CB45" s="74"/>
      <c r="CC45" s="220" t="str">
        <f>SUM(CC14:CC43)</f>
        <v>#ERROR!</v>
      </c>
      <c r="CD45" s="10"/>
    </row>
    <row r="46" ht="14.25" customHeight="1">
      <c r="A46" s="221" t="s">
        <v>1164</v>
      </c>
      <c r="B46" s="221"/>
      <c r="C46" s="72"/>
      <c r="D46" s="221"/>
      <c r="E46" s="75"/>
      <c r="F46" s="74"/>
      <c r="G46" s="74"/>
      <c r="H46" s="74"/>
      <c r="I46" s="74"/>
      <c r="J46" s="74"/>
      <c r="K46" s="74"/>
      <c r="L46" s="74"/>
      <c r="M46" s="74"/>
      <c r="N46" s="3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3"/>
      <c r="AU46" s="10"/>
      <c r="AV46" s="10"/>
      <c r="AW46" s="10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  <c r="CA46" s="74"/>
      <c r="CB46" s="74"/>
      <c r="CC46" s="3"/>
      <c r="CD46" s="10"/>
    </row>
    <row r="47" ht="14.25" customHeight="1">
      <c r="A47" s="74" t="s">
        <v>1165</v>
      </c>
      <c r="B47" s="74"/>
      <c r="C47" s="72"/>
      <c r="D47" s="74"/>
      <c r="E47" s="75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 t="s">
        <v>1166</v>
      </c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10"/>
      <c r="AV47" s="10"/>
      <c r="AW47" s="10"/>
      <c r="AX47" s="74"/>
      <c r="AY47" s="74"/>
      <c r="AZ47" s="74"/>
      <c r="BA47" s="74"/>
      <c r="BB47" s="74"/>
      <c r="BC47" s="74"/>
      <c r="BD47" s="74"/>
      <c r="BE47" s="74"/>
      <c r="BF47" s="74" t="s">
        <v>1166</v>
      </c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4"/>
      <c r="CD47" s="10"/>
    </row>
    <row r="48" ht="14.25" customHeight="1">
      <c r="A48" s="74" t="s">
        <v>1167</v>
      </c>
      <c r="B48" s="74"/>
      <c r="C48" s="222"/>
      <c r="D48" s="74"/>
      <c r="E48" s="75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 t="s">
        <v>1168</v>
      </c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10"/>
      <c r="AV48" s="10"/>
      <c r="AW48" s="10"/>
      <c r="AX48" s="74"/>
      <c r="AY48" s="74"/>
      <c r="AZ48" s="74"/>
      <c r="BA48" s="74"/>
      <c r="BB48" s="74"/>
      <c r="BC48" s="74"/>
      <c r="BD48" s="74"/>
      <c r="BE48" s="74"/>
      <c r="BF48" s="74" t="s">
        <v>1168</v>
      </c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10"/>
    </row>
    <row r="49" ht="14.25" customHeight="1">
      <c r="A49" s="74" t="s">
        <v>1169</v>
      </c>
      <c r="B49" s="74"/>
      <c r="C49" s="72"/>
      <c r="D49" s="74"/>
      <c r="E49" s="75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 t="s">
        <v>1170</v>
      </c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10"/>
      <c r="AV49" s="10"/>
      <c r="AW49" s="10"/>
      <c r="AX49" s="74"/>
      <c r="AY49" s="74"/>
      <c r="AZ49" s="74"/>
      <c r="BA49" s="74"/>
      <c r="BB49" s="74"/>
      <c r="BC49" s="74"/>
      <c r="BD49" s="74"/>
      <c r="BE49" s="74"/>
      <c r="BF49" s="74" t="s">
        <v>1170</v>
      </c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10"/>
    </row>
    <row r="50" ht="14.25" customHeight="1">
      <c r="A50" s="74" t="s">
        <v>1171</v>
      </c>
      <c r="B50" s="74"/>
      <c r="C50" s="72"/>
      <c r="D50" s="74"/>
      <c r="E50" s="75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10"/>
      <c r="AV50" s="10"/>
      <c r="AW50" s="10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10"/>
    </row>
    <row r="51" ht="14.25" customHeight="1">
      <c r="A51" s="74" t="s">
        <v>1172</v>
      </c>
      <c r="B51" s="74"/>
      <c r="C51" s="72"/>
      <c r="D51" s="74"/>
      <c r="E51" s="75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10"/>
      <c r="AV51" s="10"/>
      <c r="AW51" s="10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10"/>
    </row>
    <row r="52" ht="14.25" customHeight="1">
      <c r="A52" s="74" t="s">
        <v>1173</v>
      </c>
      <c r="B52" s="74"/>
      <c r="C52" s="72"/>
      <c r="D52" s="74"/>
      <c r="E52" s="75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10"/>
      <c r="AV52" s="10"/>
      <c r="AW52" s="10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10"/>
    </row>
    <row r="53" ht="14.25" customHeight="1">
      <c r="A53" s="74" t="s">
        <v>1174</v>
      </c>
      <c r="B53" s="74"/>
      <c r="C53" s="72"/>
      <c r="D53" s="74"/>
      <c r="E53" s="74"/>
      <c r="F53" s="74"/>
      <c r="G53" s="74"/>
      <c r="H53" s="74"/>
      <c r="I53" s="74"/>
      <c r="J53" s="74"/>
      <c r="K53" s="74"/>
      <c r="L53" s="223"/>
      <c r="M53" s="223"/>
      <c r="N53" s="223"/>
      <c r="O53" s="223"/>
      <c r="P53" s="223"/>
      <c r="Q53" s="223"/>
      <c r="R53" s="223"/>
      <c r="S53" s="223"/>
      <c r="T53" s="223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224"/>
      <c r="AI53" s="25"/>
      <c r="AJ53" s="25"/>
      <c r="AK53" s="25"/>
      <c r="AL53" s="25"/>
      <c r="AM53" s="25"/>
      <c r="AN53" s="25"/>
      <c r="AO53" s="25"/>
      <c r="AP53" s="25"/>
      <c r="AQ53" s="25"/>
      <c r="AR53" s="74"/>
      <c r="AS53" s="74"/>
      <c r="AT53" s="74"/>
      <c r="AU53" s="10"/>
      <c r="AV53" s="10"/>
      <c r="AW53" s="10"/>
      <c r="AX53" s="10"/>
      <c r="AY53" s="10"/>
      <c r="AZ53" s="10"/>
      <c r="BA53" s="10"/>
      <c r="BB53" s="10"/>
      <c r="BC53" s="10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224"/>
      <c r="BR53" s="25"/>
      <c r="BS53" s="25"/>
      <c r="BT53" s="25"/>
      <c r="BU53" s="25"/>
      <c r="BV53" s="25"/>
      <c r="BW53" s="25"/>
      <c r="BX53" s="25"/>
      <c r="BY53" s="25"/>
      <c r="BZ53" s="25"/>
      <c r="CA53" s="74"/>
      <c r="CB53" s="74"/>
      <c r="CC53" s="74"/>
      <c r="CD53" s="10"/>
    </row>
    <row r="54" ht="14.25" customHeight="1">
      <c r="A54" s="74"/>
      <c r="B54" s="74"/>
      <c r="C54" s="72"/>
      <c r="D54" s="74"/>
      <c r="E54" s="74"/>
      <c r="F54" s="74"/>
      <c r="G54" s="74"/>
      <c r="H54" s="74"/>
      <c r="I54" s="74"/>
      <c r="J54" s="74"/>
      <c r="K54" s="74"/>
      <c r="L54" s="74" t="s">
        <v>1175</v>
      </c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3" t="s">
        <v>1176</v>
      </c>
      <c r="AR54" s="74"/>
      <c r="AS54" s="74"/>
      <c r="AT54" s="74"/>
      <c r="AU54" s="10"/>
      <c r="AV54" s="10"/>
      <c r="AW54" s="10"/>
      <c r="AX54" s="10"/>
      <c r="AY54" s="10"/>
      <c r="AZ54" s="10"/>
      <c r="BA54" s="10"/>
      <c r="BB54" s="10"/>
      <c r="BC54" s="10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3" t="s">
        <v>1176</v>
      </c>
      <c r="CA54" s="74"/>
      <c r="CB54" s="74"/>
      <c r="CC54" s="74"/>
      <c r="CD54" s="10"/>
    </row>
    <row r="55" ht="12.75" customHeight="1">
      <c r="A55" s="143"/>
      <c r="B55" s="143"/>
      <c r="C55" s="143"/>
      <c r="D55" s="10"/>
      <c r="E55" s="207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</row>
    <row r="56" ht="12.75" customHeight="1">
      <c r="A56" s="143"/>
      <c r="B56" s="143"/>
      <c r="C56" s="143"/>
      <c r="D56" s="10"/>
      <c r="E56" s="207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</row>
    <row r="57" ht="12.75" customHeight="1">
      <c r="A57" s="143"/>
      <c r="B57" s="143"/>
      <c r="C57" s="143"/>
      <c r="D57" s="10"/>
      <c r="E57" s="207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</row>
    <row r="58" ht="12.75" customHeight="1">
      <c r="A58" s="143"/>
      <c r="B58" s="143"/>
      <c r="C58" s="143"/>
      <c r="D58" s="10"/>
      <c r="E58" s="207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</row>
    <row r="59" ht="12.75" customHeight="1">
      <c r="A59" s="143"/>
      <c r="B59" s="143"/>
      <c r="C59" s="143"/>
      <c r="D59" s="10"/>
      <c r="E59" s="207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</row>
    <row r="60" ht="12.75" customHeight="1">
      <c r="A60" s="143"/>
      <c r="B60" s="143"/>
      <c r="C60" s="143"/>
      <c r="D60" s="10"/>
      <c r="E60" s="207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</row>
    <row r="61" ht="12.75" customHeight="1">
      <c r="A61" s="143"/>
      <c r="B61" s="143"/>
      <c r="C61" s="143"/>
      <c r="D61" s="10"/>
      <c r="E61" s="207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</row>
    <row r="62" ht="12.75" customHeight="1">
      <c r="A62" s="143"/>
      <c r="B62" s="143"/>
      <c r="C62" s="143"/>
      <c r="D62" s="10"/>
      <c r="E62" s="207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</row>
    <row r="63" ht="12.75" customHeight="1">
      <c r="A63" s="143"/>
      <c r="B63" s="143"/>
      <c r="C63" s="143"/>
      <c r="D63" s="10"/>
      <c r="E63" s="207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</row>
    <row r="64" ht="12.75" customHeight="1">
      <c r="A64" s="143"/>
      <c r="B64" s="143"/>
      <c r="C64" s="143"/>
      <c r="D64" s="10"/>
      <c r="E64" s="207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</row>
    <row r="65" ht="12.75" customHeight="1">
      <c r="A65" s="143"/>
      <c r="B65" s="143"/>
      <c r="C65" s="143"/>
      <c r="D65" s="10"/>
      <c r="E65" s="207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</row>
    <row r="66" ht="12.75" customHeight="1">
      <c r="A66" s="143"/>
      <c r="B66" s="143"/>
      <c r="C66" s="143"/>
      <c r="D66" s="10"/>
      <c r="E66" s="207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</row>
    <row r="67" ht="12.75" customHeight="1">
      <c r="A67" s="143"/>
      <c r="B67" s="143"/>
      <c r="C67" s="143"/>
      <c r="D67" s="10"/>
      <c r="E67" s="207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</row>
    <row r="68" ht="12.75" customHeight="1">
      <c r="A68" s="143"/>
      <c r="B68" s="143"/>
      <c r="C68" s="143"/>
      <c r="D68" s="10"/>
      <c r="E68" s="207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</row>
    <row r="69" ht="12.75" customHeight="1">
      <c r="A69" s="143"/>
      <c r="B69" s="143"/>
      <c r="C69" s="143"/>
      <c r="D69" s="10"/>
      <c r="E69" s="207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</row>
    <row r="70" ht="12.75" customHeight="1">
      <c r="A70" s="143"/>
      <c r="B70" s="143"/>
      <c r="C70" s="143"/>
      <c r="D70" s="10"/>
      <c r="E70" s="207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</row>
    <row r="71" ht="12.75" customHeight="1">
      <c r="A71" s="143"/>
      <c r="B71" s="143"/>
      <c r="C71" s="143"/>
      <c r="D71" s="10"/>
      <c r="E71" s="207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</row>
    <row r="72" ht="12.75" customHeight="1">
      <c r="A72" s="143"/>
      <c r="B72" s="143"/>
      <c r="C72" s="143"/>
      <c r="D72" s="10"/>
      <c r="E72" s="207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</row>
    <row r="73" ht="12.75" customHeight="1">
      <c r="A73" s="143"/>
      <c r="B73" s="143"/>
      <c r="C73" s="143"/>
      <c r="D73" s="10"/>
      <c r="E73" s="207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</row>
    <row r="74" ht="12.75" customHeight="1">
      <c r="A74" s="143"/>
      <c r="B74" s="143"/>
      <c r="C74" s="143"/>
      <c r="D74" s="10"/>
      <c r="E74" s="207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</row>
    <row r="75" ht="12.75" customHeight="1">
      <c r="A75" s="143"/>
      <c r="B75" s="143"/>
      <c r="C75" s="143"/>
      <c r="D75" s="10"/>
      <c r="E75" s="207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</row>
    <row r="76" ht="12.75" customHeight="1">
      <c r="A76" s="143"/>
      <c r="B76" s="143"/>
      <c r="C76" s="143"/>
      <c r="D76" s="10"/>
      <c r="E76" s="207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</row>
    <row r="77" ht="12.75" customHeight="1">
      <c r="A77" s="143"/>
      <c r="B77" s="143"/>
      <c r="C77" s="143"/>
      <c r="D77" s="10"/>
      <c r="E77" s="207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</row>
    <row r="78" ht="12.75" customHeight="1">
      <c r="A78" s="143"/>
      <c r="B78" s="143"/>
      <c r="C78" s="143"/>
      <c r="D78" s="10"/>
      <c r="E78" s="207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</row>
    <row r="79" ht="12.75" customHeight="1">
      <c r="A79" s="143"/>
      <c r="B79" s="143"/>
      <c r="C79" s="143"/>
      <c r="D79" s="10"/>
      <c r="E79" s="207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</row>
    <row r="80" ht="12.75" customHeight="1">
      <c r="A80" s="143"/>
      <c r="B80" s="143"/>
      <c r="C80" s="143"/>
      <c r="D80" s="10"/>
      <c r="E80" s="207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</row>
    <row r="81" ht="12.75" customHeight="1">
      <c r="A81" s="143"/>
      <c r="B81" s="143"/>
      <c r="C81" s="143"/>
      <c r="D81" s="10"/>
      <c r="E81" s="207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</row>
    <row r="82" ht="12.75" customHeight="1">
      <c r="A82" s="143"/>
      <c r="B82" s="143"/>
      <c r="C82" s="143"/>
      <c r="D82" s="10"/>
      <c r="E82" s="207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</row>
    <row r="83" ht="12.75" customHeight="1">
      <c r="A83" s="143"/>
      <c r="B83" s="143"/>
      <c r="C83" s="143"/>
      <c r="D83" s="10"/>
      <c r="E83" s="207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</row>
    <row r="84" ht="12.75" customHeight="1">
      <c r="A84" s="143"/>
      <c r="B84" s="143"/>
      <c r="C84" s="143"/>
      <c r="D84" s="10"/>
      <c r="E84" s="207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</row>
    <row r="85" ht="12.75" customHeight="1">
      <c r="A85" s="143"/>
      <c r="B85" s="143"/>
      <c r="C85" s="143"/>
      <c r="D85" s="10"/>
      <c r="E85" s="207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</row>
    <row r="86" ht="12.75" customHeight="1">
      <c r="A86" s="143"/>
      <c r="B86" s="143"/>
      <c r="C86" s="143"/>
      <c r="D86" s="10"/>
      <c r="E86" s="207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</row>
    <row r="87" ht="12.75" customHeight="1">
      <c r="A87" s="143"/>
      <c r="B87" s="143"/>
      <c r="C87" s="143"/>
      <c r="D87" s="10"/>
      <c r="E87" s="207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</row>
    <row r="88" ht="12.75" customHeight="1">
      <c r="A88" s="143"/>
      <c r="B88" s="143"/>
      <c r="C88" s="143"/>
      <c r="D88" s="10"/>
      <c r="E88" s="207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</row>
    <row r="89" ht="12.75" customHeight="1">
      <c r="A89" s="143"/>
      <c r="B89" s="143"/>
      <c r="C89" s="143"/>
      <c r="D89" s="10"/>
      <c r="E89" s="207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</row>
    <row r="90" ht="12.75" customHeight="1">
      <c r="A90" s="143"/>
      <c r="B90" s="143"/>
      <c r="C90" s="143"/>
      <c r="D90" s="10"/>
      <c r="E90" s="207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</row>
    <row r="91" ht="12.75" customHeight="1">
      <c r="A91" s="143"/>
      <c r="B91" s="143"/>
      <c r="C91" s="143"/>
      <c r="D91" s="10"/>
      <c r="E91" s="207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</row>
    <row r="92" ht="12.75" customHeight="1">
      <c r="A92" s="143"/>
      <c r="B92" s="143"/>
      <c r="C92" s="143"/>
      <c r="D92" s="10"/>
      <c r="E92" s="207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</row>
    <row r="93" ht="12.75" customHeight="1">
      <c r="A93" s="143"/>
      <c r="B93" s="143"/>
      <c r="C93" s="143"/>
      <c r="D93" s="10"/>
      <c r="E93" s="207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</row>
    <row r="94" ht="12.75" customHeight="1">
      <c r="A94" s="143"/>
      <c r="B94" s="143"/>
      <c r="C94" s="143"/>
      <c r="D94" s="10"/>
      <c r="E94" s="207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</row>
    <row r="95" ht="12.75" customHeight="1">
      <c r="A95" s="143"/>
      <c r="B95" s="143"/>
      <c r="C95" s="143"/>
      <c r="D95" s="10"/>
      <c r="E95" s="207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</row>
    <row r="96" ht="12.75" customHeight="1">
      <c r="A96" s="143"/>
      <c r="B96" s="143"/>
      <c r="C96" s="143"/>
      <c r="D96" s="10"/>
      <c r="E96" s="207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</row>
    <row r="97" ht="12.75" customHeight="1">
      <c r="A97" s="143"/>
      <c r="B97" s="143"/>
      <c r="C97" s="143"/>
      <c r="D97" s="10"/>
      <c r="E97" s="207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</row>
    <row r="98" ht="12.75" customHeight="1">
      <c r="A98" s="143"/>
      <c r="B98" s="143"/>
      <c r="C98" s="143"/>
      <c r="D98" s="10"/>
      <c r="E98" s="207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</row>
    <row r="99" ht="12.75" customHeight="1">
      <c r="A99" s="143"/>
      <c r="B99" s="143"/>
      <c r="C99" s="143"/>
      <c r="D99" s="10"/>
      <c r="E99" s="207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</row>
    <row r="100" ht="12.75" customHeight="1">
      <c r="A100" s="143"/>
      <c r="B100" s="143"/>
      <c r="C100" s="143"/>
      <c r="D100" s="10"/>
      <c r="E100" s="207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</row>
    <row r="101" ht="12.75" customHeight="1">
      <c r="A101" s="143"/>
      <c r="B101" s="143"/>
      <c r="C101" s="143"/>
      <c r="D101" s="10"/>
      <c r="E101" s="207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</row>
    <row r="102" ht="12.75" customHeight="1">
      <c r="A102" s="143"/>
      <c r="B102" s="143"/>
      <c r="C102" s="143"/>
      <c r="D102" s="10"/>
      <c r="E102" s="207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</row>
    <row r="103" ht="12.75" customHeight="1">
      <c r="A103" s="143"/>
      <c r="B103" s="143"/>
      <c r="C103" s="143"/>
      <c r="D103" s="10"/>
      <c r="E103" s="207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</row>
    <row r="104" ht="12.75" customHeight="1">
      <c r="A104" s="143"/>
      <c r="B104" s="143"/>
      <c r="C104" s="143"/>
      <c r="D104" s="10"/>
      <c r="E104" s="207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</row>
    <row r="105" ht="12.75" customHeight="1">
      <c r="A105" s="143"/>
      <c r="B105" s="143"/>
      <c r="C105" s="143"/>
      <c r="D105" s="10"/>
      <c r="E105" s="207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</row>
    <row r="106" ht="12.75" customHeight="1">
      <c r="A106" s="143"/>
      <c r="B106" s="143"/>
      <c r="C106" s="143"/>
      <c r="D106" s="10"/>
      <c r="E106" s="207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</row>
    <row r="107" ht="12.75" customHeight="1">
      <c r="A107" s="143"/>
      <c r="B107" s="143"/>
      <c r="C107" s="143"/>
      <c r="D107" s="10"/>
      <c r="E107" s="207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</row>
    <row r="108" ht="12.75" customHeight="1">
      <c r="A108" s="143"/>
      <c r="B108" s="143"/>
      <c r="C108" s="143"/>
      <c r="D108" s="10"/>
      <c r="E108" s="207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</row>
    <row r="109" ht="12.75" customHeight="1">
      <c r="A109" s="143"/>
      <c r="B109" s="143"/>
      <c r="C109" s="143"/>
      <c r="D109" s="10"/>
      <c r="E109" s="207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</row>
    <row r="110" ht="12.75" customHeight="1">
      <c r="A110" s="143"/>
      <c r="B110" s="143"/>
      <c r="C110" s="143"/>
      <c r="D110" s="10"/>
      <c r="E110" s="207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</row>
    <row r="111" ht="12.75" customHeight="1">
      <c r="A111" s="143"/>
      <c r="B111" s="143"/>
      <c r="C111" s="143"/>
      <c r="D111" s="10"/>
      <c r="E111" s="207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</row>
    <row r="112" ht="12.75" customHeight="1">
      <c r="A112" s="143"/>
      <c r="B112" s="143"/>
      <c r="C112" s="143"/>
      <c r="D112" s="10"/>
      <c r="E112" s="207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</row>
    <row r="113" ht="12.75" customHeight="1">
      <c r="A113" s="143"/>
      <c r="B113" s="143"/>
      <c r="C113" s="143"/>
      <c r="D113" s="10"/>
      <c r="E113" s="207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</row>
    <row r="114" ht="12.75" customHeight="1">
      <c r="A114" s="143"/>
      <c r="B114" s="143"/>
      <c r="C114" s="143"/>
      <c r="D114" s="10"/>
      <c r="E114" s="207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</row>
    <row r="115" ht="12.75" customHeight="1">
      <c r="A115" s="143"/>
      <c r="B115" s="143"/>
      <c r="C115" s="143"/>
      <c r="D115" s="10"/>
      <c r="E115" s="207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</row>
    <row r="116" ht="12.75" customHeight="1">
      <c r="A116" s="143"/>
      <c r="B116" s="143"/>
      <c r="C116" s="143"/>
      <c r="D116" s="10"/>
      <c r="E116" s="207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</row>
    <row r="117" ht="12.75" customHeight="1">
      <c r="A117" s="143"/>
      <c r="B117" s="143"/>
      <c r="C117" s="143"/>
      <c r="D117" s="10"/>
      <c r="E117" s="207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</row>
    <row r="118" ht="12.75" customHeight="1">
      <c r="A118" s="143"/>
      <c r="B118" s="143"/>
      <c r="C118" s="143"/>
      <c r="D118" s="10"/>
      <c r="E118" s="207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</row>
    <row r="119" ht="12.75" customHeight="1">
      <c r="A119" s="143"/>
      <c r="B119" s="143"/>
      <c r="C119" s="143"/>
      <c r="D119" s="10"/>
      <c r="E119" s="207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</row>
    <row r="120" ht="12.75" customHeight="1">
      <c r="A120" s="143"/>
      <c r="B120" s="143"/>
      <c r="C120" s="143"/>
      <c r="D120" s="10"/>
      <c r="E120" s="207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</row>
    <row r="121" ht="12.75" customHeight="1">
      <c r="A121" s="143"/>
      <c r="B121" s="143"/>
      <c r="C121" s="143"/>
      <c r="D121" s="10"/>
      <c r="E121" s="207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</row>
    <row r="122" ht="12.75" customHeight="1">
      <c r="A122" s="143"/>
      <c r="B122" s="143"/>
      <c r="C122" s="143"/>
      <c r="D122" s="10"/>
      <c r="E122" s="207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</row>
    <row r="123" ht="12.75" customHeight="1">
      <c r="A123" s="143"/>
      <c r="B123" s="143"/>
      <c r="C123" s="143"/>
      <c r="D123" s="10"/>
      <c r="E123" s="207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</row>
    <row r="124" ht="12.75" customHeight="1">
      <c r="A124" s="143"/>
      <c r="B124" s="143"/>
      <c r="C124" s="143"/>
      <c r="D124" s="10"/>
      <c r="E124" s="207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</row>
    <row r="125" ht="12.75" customHeight="1">
      <c r="A125" s="143"/>
      <c r="B125" s="143"/>
      <c r="C125" s="143"/>
      <c r="D125" s="10"/>
      <c r="E125" s="207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</row>
    <row r="126" ht="12.75" customHeight="1">
      <c r="A126" s="143"/>
      <c r="B126" s="143"/>
      <c r="C126" s="143"/>
      <c r="D126" s="10"/>
      <c r="E126" s="207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</row>
    <row r="127" ht="12.75" customHeight="1">
      <c r="A127" s="143"/>
      <c r="B127" s="143"/>
      <c r="C127" s="143"/>
      <c r="D127" s="10"/>
      <c r="E127" s="207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</row>
    <row r="128" ht="12.75" customHeight="1">
      <c r="A128" s="143"/>
      <c r="B128" s="143"/>
      <c r="C128" s="143"/>
      <c r="D128" s="10"/>
      <c r="E128" s="207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</row>
    <row r="129" ht="12.75" customHeight="1">
      <c r="A129" s="143"/>
      <c r="B129" s="143"/>
      <c r="C129" s="143"/>
      <c r="D129" s="10"/>
      <c r="E129" s="207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</row>
    <row r="130" ht="12.75" customHeight="1">
      <c r="A130" s="143"/>
      <c r="B130" s="143"/>
      <c r="C130" s="143"/>
      <c r="D130" s="10"/>
      <c r="E130" s="207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</row>
    <row r="131" ht="12.75" customHeight="1">
      <c r="A131" s="143"/>
      <c r="B131" s="143"/>
      <c r="C131" s="143"/>
      <c r="D131" s="10"/>
      <c r="E131" s="207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</row>
    <row r="132" ht="12.75" customHeight="1">
      <c r="A132" s="143"/>
      <c r="B132" s="143"/>
      <c r="C132" s="143"/>
      <c r="D132" s="10"/>
      <c r="E132" s="207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</row>
    <row r="133" ht="12.75" customHeight="1">
      <c r="A133" s="143"/>
      <c r="B133" s="143"/>
      <c r="C133" s="143"/>
      <c r="D133" s="10"/>
      <c r="E133" s="207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</row>
    <row r="134" ht="12.75" customHeight="1">
      <c r="A134" s="143"/>
      <c r="B134" s="143"/>
      <c r="C134" s="143"/>
      <c r="D134" s="10"/>
      <c r="E134" s="207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</row>
    <row r="135" ht="12.75" customHeight="1">
      <c r="A135" s="143"/>
      <c r="B135" s="143"/>
      <c r="C135" s="143"/>
      <c r="D135" s="10"/>
      <c r="E135" s="207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</row>
    <row r="136" ht="12.75" customHeight="1">
      <c r="A136" s="143"/>
      <c r="B136" s="143"/>
      <c r="C136" s="143"/>
      <c r="D136" s="10"/>
      <c r="E136" s="207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</row>
    <row r="137" ht="12.75" customHeight="1">
      <c r="A137" s="143"/>
      <c r="B137" s="143"/>
      <c r="C137" s="143"/>
      <c r="D137" s="10"/>
      <c r="E137" s="207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</row>
    <row r="138" ht="12.75" customHeight="1">
      <c r="A138" s="143"/>
      <c r="B138" s="143"/>
      <c r="C138" s="143"/>
      <c r="D138" s="10"/>
      <c r="E138" s="207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</row>
    <row r="139" ht="12.75" customHeight="1">
      <c r="A139" s="143"/>
      <c r="B139" s="143"/>
      <c r="C139" s="143"/>
      <c r="D139" s="10"/>
      <c r="E139" s="207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</row>
    <row r="140" ht="12.75" customHeight="1">
      <c r="A140" s="143"/>
      <c r="B140" s="143"/>
      <c r="C140" s="143"/>
      <c r="D140" s="10"/>
      <c r="E140" s="207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</row>
    <row r="141" ht="12.75" customHeight="1">
      <c r="A141" s="143"/>
      <c r="B141" s="143"/>
      <c r="C141" s="143"/>
      <c r="D141" s="10"/>
      <c r="E141" s="207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</row>
    <row r="142" ht="12.75" customHeight="1">
      <c r="A142" s="143"/>
      <c r="B142" s="143"/>
      <c r="C142" s="143"/>
      <c r="D142" s="10"/>
      <c r="E142" s="207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</row>
    <row r="143" ht="12.75" customHeight="1">
      <c r="A143" s="143"/>
      <c r="B143" s="143"/>
      <c r="C143" s="143"/>
      <c r="D143" s="10"/>
      <c r="E143" s="207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</row>
    <row r="144" ht="12.75" customHeight="1">
      <c r="A144" s="143"/>
      <c r="B144" s="143"/>
      <c r="C144" s="143"/>
      <c r="D144" s="10"/>
      <c r="E144" s="207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</row>
    <row r="145" ht="12.75" customHeight="1">
      <c r="A145" s="143"/>
      <c r="B145" s="143"/>
      <c r="C145" s="143"/>
      <c r="D145" s="10"/>
      <c r="E145" s="207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</row>
    <row r="146" ht="12.75" customHeight="1">
      <c r="A146" s="143"/>
      <c r="B146" s="143"/>
      <c r="C146" s="143"/>
      <c r="D146" s="10"/>
      <c r="E146" s="207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</row>
    <row r="147" ht="12.75" customHeight="1">
      <c r="A147" s="143"/>
      <c r="B147" s="143"/>
      <c r="C147" s="143"/>
      <c r="D147" s="10"/>
      <c r="E147" s="207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</row>
    <row r="148" ht="12.75" customHeight="1">
      <c r="A148" s="143"/>
      <c r="B148" s="143"/>
      <c r="C148" s="143"/>
      <c r="D148" s="10"/>
      <c r="E148" s="207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</row>
    <row r="149" ht="12.75" customHeight="1">
      <c r="A149" s="143"/>
      <c r="B149" s="143"/>
      <c r="C149" s="143"/>
      <c r="D149" s="10"/>
      <c r="E149" s="207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</row>
    <row r="150" ht="12.75" customHeight="1">
      <c r="A150" s="143"/>
      <c r="B150" s="143"/>
      <c r="C150" s="143"/>
      <c r="D150" s="10"/>
      <c r="E150" s="207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</row>
    <row r="151" ht="12.75" customHeight="1">
      <c r="A151" s="143"/>
      <c r="B151" s="143"/>
      <c r="C151" s="143"/>
      <c r="D151" s="10"/>
      <c r="E151" s="207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</row>
    <row r="152" ht="12.75" customHeight="1">
      <c r="A152" s="143"/>
      <c r="B152" s="143"/>
      <c r="C152" s="143"/>
      <c r="D152" s="10"/>
      <c r="E152" s="207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</row>
    <row r="153" ht="12.75" customHeight="1">
      <c r="A153" s="143"/>
      <c r="B153" s="143"/>
      <c r="C153" s="143"/>
      <c r="D153" s="10"/>
      <c r="E153" s="207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</row>
    <row r="154" ht="12.75" customHeight="1">
      <c r="A154" s="143"/>
      <c r="B154" s="143"/>
      <c r="C154" s="143"/>
      <c r="D154" s="10"/>
      <c r="E154" s="207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</row>
    <row r="155" ht="12.75" customHeight="1">
      <c r="A155" s="143"/>
      <c r="B155" s="143"/>
      <c r="C155" s="143"/>
      <c r="D155" s="10"/>
      <c r="E155" s="207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</row>
    <row r="156" ht="12.75" customHeight="1">
      <c r="A156" s="143"/>
      <c r="B156" s="143"/>
      <c r="C156" s="143"/>
      <c r="D156" s="10"/>
      <c r="E156" s="207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</row>
    <row r="157" ht="12.75" customHeight="1">
      <c r="A157" s="143"/>
      <c r="B157" s="143"/>
      <c r="C157" s="143"/>
      <c r="D157" s="10"/>
      <c r="E157" s="207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</row>
    <row r="158" ht="12.75" customHeight="1">
      <c r="A158" s="143"/>
      <c r="B158" s="143"/>
      <c r="C158" s="143"/>
      <c r="D158" s="10"/>
      <c r="E158" s="207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</row>
    <row r="159" ht="12.75" customHeight="1">
      <c r="A159" s="143"/>
      <c r="B159" s="143"/>
      <c r="C159" s="143"/>
      <c r="D159" s="10"/>
      <c r="E159" s="207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</row>
    <row r="160" ht="12.75" customHeight="1">
      <c r="A160" s="143"/>
      <c r="B160" s="143"/>
      <c r="C160" s="143"/>
      <c r="D160" s="10"/>
      <c r="E160" s="207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</row>
    <row r="161" ht="12.75" customHeight="1">
      <c r="A161" s="143"/>
      <c r="B161" s="143"/>
      <c r="C161" s="143"/>
      <c r="D161" s="10"/>
      <c r="E161" s="207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</row>
    <row r="162" ht="12.75" customHeight="1">
      <c r="A162" s="143"/>
      <c r="B162" s="143"/>
      <c r="C162" s="143"/>
      <c r="D162" s="10"/>
      <c r="E162" s="207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</row>
    <row r="163" ht="12.75" customHeight="1">
      <c r="A163" s="143"/>
      <c r="B163" s="143"/>
      <c r="C163" s="143"/>
      <c r="D163" s="10"/>
      <c r="E163" s="207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</row>
    <row r="164" ht="12.75" customHeight="1">
      <c r="A164" s="143"/>
      <c r="B164" s="143"/>
      <c r="C164" s="143"/>
      <c r="D164" s="10"/>
      <c r="E164" s="207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</row>
    <row r="165" ht="12.75" customHeight="1">
      <c r="A165" s="143"/>
      <c r="B165" s="143"/>
      <c r="C165" s="143"/>
      <c r="D165" s="10"/>
      <c r="E165" s="207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</row>
    <row r="166" ht="12.75" customHeight="1">
      <c r="A166" s="143"/>
      <c r="B166" s="143"/>
      <c r="C166" s="143"/>
      <c r="D166" s="10"/>
      <c r="E166" s="207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</row>
    <row r="167" ht="12.75" customHeight="1">
      <c r="A167" s="143"/>
      <c r="B167" s="143"/>
      <c r="C167" s="143"/>
      <c r="D167" s="10"/>
      <c r="E167" s="207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</row>
    <row r="168" ht="12.75" customHeight="1">
      <c r="A168" s="143"/>
      <c r="B168" s="143"/>
      <c r="C168" s="143"/>
      <c r="D168" s="10"/>
      <c r="E168" s="207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</row>
    <row r="169" ht="12.75" customHeight="1">
      <c r="A169" s="143"/>
      <c r="B169" s="143"/>
      <c r="C169" s="143"/>
      <c r="D169" s="10"/>
      <c r="E169" s="207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</row>
    <row r="170" ht="12.75" customHeight="1">
      <c r="A170" s="143"/>
      <c r="B170" s="143"/>
      <c r="C170" s="143"/>
      <c r="D170" s="10"/>
      <c r="E170" s="207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</row>
    <row r="171" ht="12.75" customHeight="1">
      <c r="A171" s="143"/>
      <c r="B171" s="143"/>
      <c r="C171" s="143"/>
      <c r="D171" s="10"/>
      <c r="E171" s="207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</row>
    <row r="172" ht="12.75" customHeight="1">
      <c r="A172" s="143"/>
      <c r="B172" s="143"/>
      <c r="C172" s="143"/>
      <c r="D172" s="10"/>
      <c r="E172" s="207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</row>
    <row r="173" ht="12.75" customHeight="1">
      <c r="A173" s="143"/>
      <c r="B173" s="143"/>
      <c r="C173" s="143"/>
      <c r="D173" s="10"/>
      <c r="E173" s="207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</row>
    <row r="174" ht="12.75" customHeight="1">
      <c r="A174" s="143"/>
      <c r="B174" s="143"/>
      <c r="C174" s="143"/>
      <c r="D174" s="10"/>
      <c r="E174" s="207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</row>
    <row r="175" ht="12.75" customHeight="1">
      <c r="A175" s="143"/>
      <c r="B175" s="143"/>
      <c r="C175" s="143"/>
      <c r="D175" s="10"/>
      <c r="E175" s="207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</row>
    <row r="176" ht="12.75" customHeight="1">
      <c r="A176" s="143"/>
      <c r="B176" s="143"/>
      <c r="C176" s="143"/>
      <c r="D176" s="10"/>
      <c r="E176" s="207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</row>
    <row r="177" ht="12.75" customHeight="1">
      <c r="A177" s="143"/>
      <c r="B177" s="143"/>
      <c r="C177" s="143"/>
      <c r="D177" s="10"/>
      <c r="E177" s="207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</row>
    <row r="178" ht="12.75" customHeight="1">
      <c r="A178" s="143"/>
      <c r="B178" s="143"/>
      <c r="C178" s="143"/>
      <c r="D178" s="10"/>
      <c r="E178" s="207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</row>
    <row r="179" ht="12.75" customHeight="1">
      <c r="A179" s="143"/>
      <c r="B179" s="143"/>
      <c r="C179" s="143"/>
      <c r="D179" s="10"/>
      <c r="E179" s="207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</row>
    <row r="180" ht="12.75" customHeight="1">
      <c r="A180" s="143"/>
      <c r="B180" s="143"/>
      <c r="C180" s="143"/>
      <c r="D180" s="10"/>
      <c r="E180" s="207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</row>
    <row r="181" ht="12.75" customHeight="1">
      <c r="A181" s="143"/>
      <c r="B181" s="143"/>
      <c r="C181" s="143"/>
      <c r="D181" s="10"/>
      <c r="E181" s="207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</row>
    <row r="182" ht="12.75" customHeight="1">
      <c r="A182" s="143"/>
      <c r="B182" s="143"/>
      <c r="C182" s="143"/>
      <c r="D182" s="10"/>
      <c r="E182" s="207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</row>
    <row r="183" ht="12.75" customHeight="1">
      <c r="A183" s="143"/>
      <c r="B183" s="143"/>
      <c r="C183" s="143"/>
      <c r="D183" s="10"/>
      <c r="E183" s="207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</row>
    <row r="184" ht="12.75" customHeight="1">
      <c r="A184" s="143"/>
      <c r="B184" s="143"/>
      <c r="C184" s="143"/>
      <c r="D184" s="10"/>
      <c r="E184" s="207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</row>
    <row r="185" ht="12.75" customHeight="1">
      <c r="A185" s="143"/>
      <c r="B185" s="143"/>
      <c r="C185" s="143"/>
      <c r="D185" s="10"/>
      <c r="E185" s="207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</row>
    <row r="186" ht="12.75" customHeight="1">
      <c r="A186" s="143"/>
      <c r="B186" s="143"/>
      <c r="C186" s="143"/>
      <c r="D186" s="10"/>
      <c r="E186" s="207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</row>
    <row r="187" ht="12.75" customHeight="1">
      <c r="A187" s="143"/>
      <c r="B187" s="143"/>
      <c r="C187" s="143"/>
      <c r="D187" s="10"/>
      <c r="E187" s="207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</row>
    <row r="188" ht="12.75" customHeight="1">
      <c r="A188" s="143"/>
      <c r="B188" s="143"/>
      <c r="C188" s="143"/>
      <c r="D188" s="10"/>
      <c r="E188" s="207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</row>
    <row r="189" ht="12.75" customHeight="1">
      <c r="A189" s="143"/>
      <c r="B189" s="143"/>
      <c r="C189" s="143"/>
      <c r="D189" s="10"/>
      <c r="E189" s="207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</row>
    <row r="190" ht="12.75" customHeight="1">
      <c r="A190" s="143"/>
      <c r="B190" s="143"/>
      <c r="C190" s="143"/>
      <c r="D190" s="10"/>
      <c r="E190" s="207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</row>
    <row r="191" ht="12.75" customHeight="1">
      <c r="A191" s="143"/>
      <c r="B191" s="143"/>
      <c r="C191" s="143"/>
      <c r="D191" s="10"/>
      <c r="E191" s="207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</row>
    <row r="192" ht="12.75" customHeight="1">
      <c r="A192" s="143"/>
      <c r="B192" s="143"/>
      <c r="C192" s="143"/>
      <c r="D192" s="10"/>
      <c r="E192" s="207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</row>
    <row r="193" ht="12.75" customHeight="1">
      <c r="A193" s="143"/>
      <c r="B193" s="143"/>
      <c r="C193" s="143"/>
      <c r="D193" s="10"/>
      <c r="E193" s="207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</row>
    <row r="194" ht="12.75" customHeight="1">
      <c r="A194" s="143"/>
      <c r="B194" s="143"/>
      <c r="C194" s="143"/>
      <c r="D194" s="10"/>
      <c r="E194" s="207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</row>
    <row r="195" ht="12.75" customHeight="1">
      <c r="A195" s="143"/>
      <c r="B195" s="143"/>
      <c r="C195" s="143"/>
      <c r="D195" s="10"/>
      <c r="E195" s="207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</row>
    <row r="196" ht="12.75" customHeight="1">
      <c r="A196" s="143"/>
      <c r="B196" s="143"/>
      <c r="C196" s="143"/>
      <c r="D196" s="10"/>
      <c r="E196" s="207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</row>
    <row r="197" ht="12.75" customHeight="1">
      <c r="A197" s="143"/>
      <c r="B197" s="143"/>
      <c r="C197" s="143"/>
      <c r="D197" s="10"/>
      <c r="E197" s="207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</row>
    <row r="198" ht="12.75" customHeight="1">
      <c r="A198" s="143"/>
      <c r="B198" s="143"/>
      <c r="C198" s="143"/>
      <c r="D198" s="10"/>
      <c r="E198" s="207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</row>
    <row r="199" ht="12.75" customHeight="1">
      <c r="A199" s="143"/>
      <c r="B199" s="143"/>
      <c r="C199" s="143"/>
      <c r="D199" s="10"/>
      <c r="E199" s="207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</row>
    <row r="200" ht="12.75" customHeight="1">
      <c r="A200" s="143"/>
      <c r="B200" s="143"/>
      <c r="C200" s="143"/>
      <c r="D200" s="10"/>
      <c r="E200" s="207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</row>
    <row r="201" ht="12.75" customHeight="1">
      <c r="A201" s="143"/>
      <c r="B201" s="143"/>
      <c r="C201" s="143"/>
      <c r="D201" s="10"/>
      <c r="E201" s="207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</row>
    <row r="202" ht="12.75" customHeight="1">
      <c r="A202" s="143"/>
      <c r="B202" s="143"/>
      <c r="C202" s="143"/>
      <c r="D202" s="10"/>
      <c r="E202" s="207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</row>
    <row r="203" ht="12.75" customHeight="1">
      <c r="A203" s="143"/>
      <c r="B203" s="143"/>
      <c r="C203" s="143"/>
      <c r="D203" s="10"/>
      <c r="E203" s="207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</row>
    <row r="204" ht="12.75" customHeight="1">
      <c r="A204" s="143"/>
      <c r="B204" s="143"/>
      <c r="C204" s="143"/>
      <c r="D204" s="10"/>
      <c r="E204" s="207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</row>
    <row r="205" ht="12.75" customHeight="1">
      <c r="A205" s="143"/>
      <c r="B205" s="143"/>
      <c r="C205" s="143"/>
      <c r="D205" s="10"/>
      <c r="E205" s="207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</row>
    <row r="206" ht="12.75" customHeight="1">
      <c r="A206" s="143"/>
      <c r="B206" s="143"/>
      <c r="C206" s="143"/>
      <c r="D206" s="10"/>
      <c r="E206" s="207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</row>
    <row r="207" ht="12.75" customHeight="1">
      <c r="A207" s="143"/>
      <c r="B207" s="143"/>
      <c r="C207" s="143"/>
      <c r="D207" s="10"/>
      <c r="E207" s="207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</row>
    <row r="208" ht="12.75" customHeight="1">
      <c r="A208" s="143"/>
      <c r="B208" s="143"/>
      <c r="C208" s="143"/>
      <c r="D208" s="10"/>
      <c r="E208" s="207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</row>
    <row r="209" ht="12.75" customHeight="1">
      <c r="A209" s="143"/>
      <c r="B209" s="143"/>
      <c r="C209" s="143"/>
      <c r="D209" s="10"/>
      <c r="E209" s="207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</row>
    <row r="210" ht="12.75" customHeight="1">
      <c r="A210" s="143"/>
      <c r="B210" s="143"/>
      <c r="C210" s="143"/>
      <c r="D210" s="10"/>
      <c r="E210" s="207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</row>
    <row r="211" ht="12.75" customHeight="1">
      <c r="A211" s="143"/>
      <c r="B211" s="143"/>
      <c r="C211" s="143"/>
      <c r="D211" s="10"/>
      <c r="E211" s="207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</row>
    <row r="212" ht="12.75" customHeight="1">
      <c r="A212" s="143"/>
      <c r="B212" s="143"/>
      <c r="C212" s="143"/>
      <c r="D212" s="10"/>
      <c r="E212" s="207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</row>
    <row r="213" ht="12.75" customHeight="1">
      <c r="A213" s="143"/>
      <c r="B213" s="143"/>
      <c r="C213" s="143"/>
      <c r="D213" s="10"/>
      <c r="E213" s="207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</row>
    <row r="214" ht="12.75" customHeight="1">
      <c r="A214" s="143"/>
      <c r="B214" s="143"/>
      <c r="C214" s="143"/>
      <c r="D214" s="10"/>
      <c r="E214" s="207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</row>
    <row r="215" ht="12.75" customHeight="1">
      <c r="A215" s="143"/>
      <c r="B215" s="143"/>
      <c r="C215" s="143"/>
      <c r="D215" s="10"/>
      <c r="E215" s="207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</row>
    <row r="216" ht="12.75" customHeight="1">
      <c r="A216" s="143"/>
      <c r="B216" s="143"/>
      <c r="C216" s="143"/>
      <c r="D216" s="10"/>
      <c r="E216" s="207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</row>
    <row r="217" ht="12.75" customHeight="1">
      <c r="A217" s="143"/>
      <c r="B217" s="143"/>
      <c r="C217" s="143"/>
      <c r="D217" s="10"/>
      <c r="E217" s="207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</row>
    <row r="218" ht="12.75" customHeight="1">
      <c r="A218" s="143"/>
      <c r="B218" s="143"/>
      <c r="C218" s="143"/>
      <c r="D218" s="10"/>
      <c r="E218" s="207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</row>
    <row r="219" ht="12.75" customHeight="1">
      <c r="A219" s="143"/>
      <c r="B219" s="143"/>
      <c r="C219" s="143"/>
      <c r="D219" s="10"/>
      <c r="E219" s="207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</row>
    <row r="220" ht="12.75" customHeight="1">
      <c r="A220" s="143"/>
      <c r="B220" s="143"/>
      <c r="C220" s="143"/>
      <c r="D220" s="10"/>
      <c r="E220" s="207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</row>
    <row r="221" ht="12.75" customHeight="1">
      <c r="A221" s="143"/>
      <c r="B221" s="143"/>
      <c r="C221" s="143"/>
      <c r="D221" s="10"/>
      <c r="E221" s="207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</row>
    <row r="222" ht="12.75" customHeight="1">
      <c r="A222" s="143"/>
      <c r="B222" s="143"/>
      <c r="C222" s="143"/>
      <c r="D222" s="10"/>
      <c r="E222" s="207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</row>
    <row r="223" ht="12.75" customHeight="1">
      <c r="A223" s="143"/>
      <c r="B223" s="143"/>
      <c r="C223" s="143"/>
      <c r="D223" s="10"/>
      <c r="E223" s="207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</row>
    <row r="224" ht="12.75" customHeight="1">
      <c r="A224" s="143"/>
      <c r="B224" s="143"/>
      <c r="C224" s="143"/>
      <c r="D224" s="10"/>
      <c r="E224" s="207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</row>
    <row r="225" ht="12.75" customHeight="1">
      <c r="A225" s="143"/>
      <c r="B225" s="143"/>
      <c r="C225" s="143"/>
      <c r="D225" s="10"/>
      <c r="E225" s="207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</row>
    <row r="226" ht="12.75" customHeight="1">
      <c r="A226" s="143"/>
      <c r="B226" s="143"/>
      <c r="C226" s="143"/>
      <c r="D226" s="10"/>
      <c r="E226" s="207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</row>
    <row r="227" ht="12.75" customHeight="1">
      <c r="A227" s="143"/>
      <c r="B227" s="143"/>
      <c r="C227" s="143"/>
      <c r="D227" s="10"/>
      <c r="E227" s="207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</row>
    <row r="228" ht="12.75" customHeight="1">
      <c r="A228" s="143"/>
      <c r="B228" s="143"/>
      <c r="C228" s="143"/>
      <c r="D228" s="10"/>
      <c r="E228" s="207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</row>
    <row r="229" ht="12.75" customHeight="1">
      <c r="A229" s="143"/>
      <c r="B229" s="143"/>
      <c r="C229" s="143"/>
      <c r="D229" s="10"/>
      <c r="E229" s="207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</row>
    <row r="230" ht="12.75" customHeight="1">
      <c r="A230" s="143"/>
      <c r="B230" s="143"/>
      <c r="C230" s="143"/>
      <c r="D230" s="10"/>
      <c r="E230" s="207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</row>
    <row r="231" ht="12.75" customHeight="1">
      <c r="A231" s="143"/>
      <c r="B231" s="143"/>
      <c r="C231" s="143"/>
      <c r="D231" s="10"/>
      <c r="E231" s="207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</row>
    <row r="232" ht="12.75" customHeight="1">
      <c r="A232" s="143"/>
      <c r="B232" s="143"/>
      <c r="C232" s="143"/>
      <c r="D232" s="10"/>
      <c r="E232" s="207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</row>
    <row r="233" ht="12.75" customHeight="1">
      <c r="A233" s="143"/>
      <c r="B233" s="143"/>
      <c r="C233" s="143"/>
      <c r="D233" s="10"/>
      <c r="E233" s="207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</row>
    <row r="234" ht="12.75" customHeight="1">
      <c r="A234" s="143"/>
      <c r="B234" s="143"/>
      <c r="C234" s="143"/>
      <c r="D234" s="10"/>
      <c r="E234" s="207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</row>
    <row r="235" ht="12.75" customHeight="1">
      <c r="A235" s="143"/>
      <c r="B235" s="143"/>
      <c r="C235" s="143"/>
      <c r="D235" s="10"/>
      <c r="E235" s="207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</row>
    <row r="236" ht="12.75" customHeight="1">
      <c r="A236" s="143"/>
      <c r="B236" s="143"/>
      <c r="C236" s="143"/>
      <c r="D236" s="10"/>
      <c r="E236" s="207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</row>
    <row r="237" ht="12.75" customHeight="1">
      <c r="A237" s="143"/>
      <c r="B237" s="143"/>
      <c r="C237" s="143"/>
      <c r="D237" s="10"/>
      <c r="E237" s="207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</row>
    <row r="238" ht="12.75" customHeight="1">
      <c r="A238" s="143"/>
      <c r="B238" s="143"/>
      <c r="C238" s="143"/>
      <c r="D238" s="10"/>
      <c r="E238" s="207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</row>
    <row r="239" ht="12.75" customHeight="1">
      <c r="A239" s="143"/>
      <c r="B239" s="143"/>
      <c r="C239" s="143"/>
      <c r="D239" s="10"/>
      <c r="E239" s="207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</row>
    <row r="240" ht="12.75" customHeight="1">
      <c r="A240" s="143"/>
      <c r="B240" s="143"/>
      <c r="C240" s="143"/>
      <c r="D240" s="10"/>
      <c r="E240" s="207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</row>
    <row r="241" ht="12.75" customHeight="1">
      <c r="A241" s="143"/>
      <c r="B241" s="143"/>
      <c r="C241" s="143"/>
      <c r="D241" s="10"/>
      <c r="E241" s="207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</row>
    <row r="242" ht="12.75" customHeight="1">
      <c r="A242" s="143"/>
      <c r="B242" s="143"/>
      <c r="C242" s="143"/>
      <c r="D242" s="10"/>
      <c r="E242" s="207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</row>
    <row r="243" ht="12.75" customHeight="1">
      <c r="A243" s="143"/>
      <c r="B243" s="143"/>
      <c r="C243" s="143"/>
      <c r="D243" s="10"/>
      <c r="E243" s="207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</row>
    <row r="244" ht="12.75" customHeight="1">
      <c r="A244" s="143"/>
      <c r="B244" s="143"/>
      <c r="C244" s="143"/>
      <c r="D244" s="10"/>
      <c r="E244" s="207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</row>
    <row r="245" ht="12.75" customHeight="1">
      <c r="A245" s="143"/>
      <c r="B245" s="143"/>
      <c r="C245" s="143"/>
      <c r="D245" s="10"/>
      <c r="E245" s="207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</row>
    <row r="246" ht="12.75" customHeight="1">
      <c r="A246" s="143"/>
      <c r="B246" s="143"/>
      <c r="C246" s="143"/>
      <c r="D246" s="10"/>
      <c r="E246" s="207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</row>
    <row r="247" ht="12.75" customHeight="1">
      <c r="A247" s="143"/>
      <c r="B247" s="143"/>
      <c r="C247" s="143"/>
      <c r="D247" s="10"/>
      <c r="E247" s="207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</row>
    <row r="248" ht="12.75" customHeight="1">
      <c r="A248" s="143"/>
      <c r="B248" s="143"/>
      <c r="C248" s="143"/>
      <c r="D248" s="10"/>
      <c r="E248" s="207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</row>
    <row r="249" ht="12.75" customHeight="1">
      <c r="A249" s="143"/>
      <c r="B249" s="143"/>
      <c r="C249" s="143"/>
      <c r="D249" s="10"/>
      <c r="E249" s="207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</row>
    <row r="250" ht="12.75" customHeight="1">
      <c r="A250" s="143"/>
      <c r="B250" s="143"/>
      <c r="C250" s="143"/>
      <c r="D250" s="10"/>
      <c r="E250" s="207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</row>
    <row r="251" ht="12.75" customHeight="1">
      <c r="A251" s="143"/>
      <c r="B251" s="143"/>
      <c r="C251" s="143"/>
      <c r="D251" s="10"/>
      <c r="E251" s="207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</row>
    <row r="252" ht="12.75" customHeight="1">
      <c r="A252" s="143"/>
      <c r="B252" s="143"/>
      <c r="C252" s="143"/>
      <c r="D252" s="10"/>
      <c r="E252" s="207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</row>
    <row r="253" ht="12.75" customHeight="1">
      <c r="A253" s="143"/>
      <c r="B253" s="143"/>
      <c r="C253" s="143"/>
      <c r="D253" s="10"/>
      <c r="E253" s="207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</row>
    <row r="254" ht="12.75" customHeight="1">
      <c r="A254" s="143"/>
      <c r="B254" s="143"/>
      <c r="C254" s="143"/>
      <c r="D254" s="10"/>
      <c r="E254" s="207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</row>
    <row r="255" ht="12.75" customHeight="1">
      <c r="A255" s="143"/>
      <c r="B255" s="143"/>
      <c r="C255" s="143"/>
      <c r="D255" s="10"/>
      <c r="E255" s="207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</row>
    <row r="256" ht="12.75" customHeight="1">
      <c r="A256" s="143"/>
      <c r="B256" s="143"/>
      <c r="C256" s="143"/>
      <c r="D256" s="10"/>
      <c r="E256" s="207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</row>
    <row r="257" ht="12.75" customHeight="1">
      <c r="A257" s="143"/>
      <c r="B257" s="143"/>
      <c r="C257" s="143"/>
      <c r="D257" s="10"/>
      <c r="E257" s="207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</row>
    <row r="258" ht="12.75" customHeight="1">
      <c r="A258" s="143"/>
      <c r="B258" s="143"/>
      <c r="C258" s="143"/>
      <c r="D258" s="10"/>
      <c r="E258" s="207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</row>
    <row r="259" ht="12.75" customHeight="1">
      <c r="A259" s="143"/>
      <c r="B259" s="143"/>
      <c r="C259" s="143"/>
      <c r="D259" s="10"/>
      <c r="E259" s="207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</row>
    <row r="260" ht="12.75" customHeight="1">
      <c r="A260" s="143"/>
      <c r="B260" s="143"/>
      <c r="C260" s="143"/>
      <c r="D260" s="10"/>
      <c r="E260" s="207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</row>
    <row r="261" ht="12.75" customHeight="1">
      <c r="A261" s="143"/>
      <c r="B261" s="143"/>
      <c r="C261" s="143"/>
      <c r="D261" s="10"/>
      <c r="E261" s="207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</row>
    <row r="262" ht="12.75" customHeight="1">
      <c r="A262" s="143"/>
      <c r="B262" s="143"/>
      <c r="C262" s="143"/>
      <c r="D262" s="10"/>
      <c r="E262" s="207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</row>
    <row r="263" ht="12.75" customHeight="1">
      <c r="A263" s="143"/>
      <c r="B263" s="143"/>
      <c r="C263" s="143"/>
      <c r="D263" s="10"/>
      <c r="E263" s="207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</row>
    <row r="264" ht="12.75" customHeight="1">
      <c r="A264" s="143"/>
      <c r="B264" s="143"/>
      <c r="C264" s="143"/>
      <c r="D264" s="10"/>
      <c r="E264" s="207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</row>
    <row r="265" ht="12.75" customHeight="1">
      <c r="A265" s="143"/>
      <c r="B265" s="143"/>
      <c r="C265" s="143"/>
      <c r="D265" s="10"/>
      <c r="E265" s="207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</row>
    <row r="266" ht="12.75" customHeight="1">
      <c r="A266" s="143"/>
      <c r="B266" s="143"/>
      <c r="C266" s="143"/>
      <c r="D266" s="10"/>
      <c r="E266" s="207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</row>
    <row r="267" ht="12.75" customHeight="1">
      <c r="A267" s="143"/>
      <c r="B267" s="143"/>
      <c r="C267" s="143"/>
      <c r="D267" s="10"/>
      <c r="E267" s="207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</row>
    <row r="268" ht="12.75" customHeight="1">
      <c r="A268" s="143"/>
      <c r="B268" s="143"/>
      <c r="C268" s="143"/>
      <c r="D268" s="10"/>
      <c r="E268" s="207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</row>
    <row r="269" ht="12.75" customHeight="1">
      <c r="A269" s="143"/>
      <c r="B269" s="143"/>
      <c r="C269" s="143"/>
      <c r="D269" s="10"/>
      <c r="E269" s="207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</row>
    <row r="270" ht="12.75" customHeight="1">
      <c r="A270" s="143"/>
      <c r="B270" s="143"/>
      <c r="C270" s="143"/>
      <c r="D270" s="10"/>
      <c r="E270" s="207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</row>
    <row r="271" ht="12.75" customHeight="1">
      <c r="A271" s="143"/>
      <c r="B271" s="143"/>
      <c r="C271" s="143"/>
      <c r="D271" s="10"/>
      <c r="E271" s="207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</row>
    <row r="272" ht="12.75" customHeight="1">
      <c r="A272" s="143"/>
      <c r="B272" s="143"/>
      <c r="C272" s="143"/>
      <c r="D272" s="10"/>
      <c r="E272" s="207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</row>
    <row r="273" ht="12.75" customHeight="1">
      <c r="A273" s="143"/>
      <c r="B273" s="143"/>
      <c r="C273" s="143"/>
      <c r="D273" s="10"/>
      <c r="E273" s="207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</row>
    <row r="274" ht="12.75" customHeight="1">
      <c r="A274" s="143"/>
      <c r="B274" s="143"/>
      <c r="C274" s="143"/>
      <c r="D274" s="10"/>
      <c r="E274" s="207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</row>
    <row r="275" ht="12.75" customHeight="1">
      <c r="A275" s="143"/>
      <c r="B275" s="143"/>
      <c r="C275" s="143"/>
      <c r="D275" s="10"/>
      <c r="E275" s="207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</row>
    <row r="276" ht="12.75" customHeight="1">
      <c r="A276" s="143"/>
      <c r="B276" s="143"/>
      <c r="C276" s="143"/>
      <c r="D276" s="10"/>
      <c r="E276" s="207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</row>
    <row r="277" ht="12.75" customHeight="1">
      <c r="A277" s="143"/>
      <c r="B277" s="143"/>
      <c r="C277" s="143"/>
      <c r="D277" s="10"/>
      <c r="E277" s="207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</row>
    <row r="278" ht="12.75" customHeight="1">
      <c r="A278" s="143"/>
      <c r="B278" s="143"/>
      <c r="C278" s="143"/>
      <c r="D278" s="10"/>
      <c r="E278" s="207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</row>
    <row r="279" ht="12.75" customHeight="1">
      <c r="A279" s="143"/>
      <c r="B279" s="143"/>
      <c r="C279" s="143"/>
      <c r="D279" s="10"/>
      <c r="E279" s="207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</row>
    <row r="280" ht="12.75" customHeight="1">
      <c r="A280" s="143"/>
      <c r="B280" s="143"/>
      <c r="C280" s="143"/>
      <c r="D280" s="10"/>
      <c r="E280" s="207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</row>
    <row r="281" ht="12.75" customHeight="1">
      <c r="A281" s="143"/>
      <c r="B281" s="143"/>
      <c r="C281" s="143"/>
      <c r="D281" s="10"/>
      <c r="E281" s="207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</row>
    <row r="282" ht="12.75" customHeight="1">
      <c r="A282" s="143"/>
      <c r="B282" s="143"/>
      <c r="C282" s="143"/>
      <c r="D282" s="10"/>
      <c r="E282" s="207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</row>
    <row r="283" ht="12.75" customHeight="1">
      <c r="A283" s="143"/>
      <c r="B283" s="143"/>
      <c r="C283" s="143"/>
      <c r="D283" s="10"/>
      <c r="E283" s="207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</row>
    <row r="284" ht="12.75" customHeight="1">
      <c r="A284" s="143"/>
      <c r="B284" s="143"/>
      <c r="C284" s="143"/>
      <c r="D284" s="10"/>
      <c r="E284" s="207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</row>
    <row r="285" ht="12.75" customHeight="1">
      <c r="A285" s="143"/>
      <c r="B285" s="143"/>
      <c r="C285" s="143"/>
      <c r="D285" s="10"/>
      <c r="E285" s="207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</row>
    <row r="286" ht="12.75" customHeight="1">
      <c r="A286" s="143"/>
      <c r="B286" s="143"/>
      <c r="C286" s="143"/>
      <c r="D286" s="10"/>
      <c r="E286" s="207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</row>
    <row r="287" ht="12.75" customHeight="1">
      <c r="A287" s="143"/>
      <c r="B287" s="143"/>
      <c r="C287" s="143"/>
      <c r="D287" s="10"/>
      <c r="E287" s="207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</row>
    <row r="288" ht="12.75" customHeight="1">
      <c r="A288" s="143"/>
      <c r="B288" s="143"/>
      <c r="C288" s="143"/>
      <c r="D288" s="10"/>
      <c r="E288" s="207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</row>
    <row r="289" ht="12.75" customHeight="1">
      <c r="A289" s="143"/>
      <c r="B289" s="143"/>
      <c r="C289" s="143"/>
      <c r="D289" s="10"/>
      <c r="E289" s="207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</row>
    <row r="290" ht="12.75" customHeight="1">
      <c r="A290" s="143"/>
      <c r="B290" s="143"/>
      <c r="C290" s="143"/>
      <c r="D290" s="10"/>
      <c r="E290" s="207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</row>
    <row r="291" ht="12.75" customHeight="1">
      <c r="A291" s="143"/>
      <c r="B291" s="143"/>
      <c r="C291" s="143"/>
      <c r="D291" s="10"/>
      <c r="E291" s="207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</row>
    <row r="292" ht="12.75" customHeight="1">
      <c r="A292" s="143"/>
      <c r="B292" s="143"/>
      <c r="C292" s="143"/>
      <c r="D292" s="10"/>
      <c r="E292" s="207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</row>
    <row r="293" ht="12.75" customHeight="1">
      <c r="A293" s="143"/>
      <c r="B293" s="143"/>
      <c r="C293" s="143"/>
      <c r="D293" s="10"/>
      <c r="E293" s="207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</row>
    <row r="294" ht="12.75" customHeight="1">
      <c r="A294" s="143"/>
      <c r="B294" s="143"/>
      <c r="C294" s="143"/>
      <c r="D294" s="10"/>
      <c r="E294" s="207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</row>
    <row r="295" ht="12.75" customHeight="1">
      <c r="A295" s="143"/>
      <c r="B295" s="143"/>
      <c r="C295" s="143"/>
      <c r="D295" s="10"/>
      <c r="E295" s="207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</row>
    <row r="296" ht="12.75" customHeight="1">
      <c r="A296" s="143"/>
      <c r="B296" s="143"/>
      <c r="C296" s="143"/>
      <c r="D296" s="10"/>
      <c r="E296" s="207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</row>
    <row r="297" ht="12.75" customHeight="1">
      <c r="A297" s="143"/>
      <c r="B297" s="143"/>
      <c r="C297" s="143"/>
      <c r="D297" s="10"/>
      <c r="E297" s="207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</row>
    <row r="298" ht="12.75" customHeight="1">
      <c r="A298" s="143"/>
      <c r="B298" s="143"/>
      <c r="C298" s="143"/>
      <c r="D298" s="10"/>
      <c r="E298" s="207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</row>
    <row r="299" ht="12.75" customHeight="1">
      <c r="A299" s="143"/>
      <c r="B299" s="143"/>
      <c r="C299" s="143"/>
      <c r="D299" s="10"/>
      <c r="E299" s="207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</row>
    <row r="300" ht="12.75" customHeight="1">
      <c r="A300" s="143"/>
      <c r="B300" s="143"/>
      <c r="C300" s="143"/>
      <c r="D300" s="10"/>
      <c r="E300" s="207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</row>
    <row r="301" ht="12.75" customHeight="1">
      <c r="A301" s="143"/>
      <c r="B301" s="143"/>
      <c r="C301" s="143"/>
      <c r="D301" s="10"/>
      <c r="E301" s="207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</row>
    <row r="302" ht="12.75" customHeight="1">
      <c r="A302" s="143"/>
      <c r="B302" s="143"/>
      <c r="C302" s="143"/>
      <c r="D302" s="10"/>
      <c r="E302" s="207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</row>
    <row r="303" ht="12.75" customHeight="1">
      <c r="A303" s="143"/>
      <c r="B303" s="143"/>
      <c r="C303" s="143"/>
      <c r="D303" s="10"/>
      <c r="E303" s="207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</row>
    <row r="304" ht="12.75" customHeight="1">
      <c r="A304" s="143"/>
      <c r="B304" s="143"/>
      <c r="C304" s="143"/>
      <c r="D304" s="10"/>
      <c r="E304" s="207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</row>
    <row r="305" ht="12.75" customHeight="1">
      <c r="A305" s="143"/>
      <c r="B305" s="143"/>
      <c r="C305" s="143"/>
      <c r="D305" s="10"/>
      <c r="E305" s="207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</row>
    <row r="306" ht="12.75" customHeight="1">
      <c r="A306" s="143"/>
      <c r="B306" s="143"/>
      <c r="C306" s="143"/>
      <c r="D306" s="10"/>
      <c r="E306" s="207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</row>
    <row r="307" ht="12.75" customHeight="1">
      <c r="A307" s="143"/>
      <c r="B307" s="143"/>
      <c r="C307" s="143"/>
      <c r="D307" s="10"/>
      <c r="E307" s="207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</row>
    <row r="308" ht="12.75" customHeight="1">
      <c r="A308" s="143"/>
      <c r="B308" s="143"/>
      <c r="C308" s="143"/>
      <c r="D308" s="10"/>
      <c r="E308" s="207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</row>
    <row r="309" ht="12.75" customHeight="1">
      <c r="A309" s="143"/>
      <c r="B309" s="143"/>
      <c r="C309" s="143"/>
      <c r="D309" s="10"/>
      <c r="E309" s="207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</row>
    <row r="310" ht="12.75" customHeight="1">
      <c r="A310" s="143"/>
      <c r="B310" s="143"/>
      <c r="C310" s="143"/>
      <c r="D310" s="10"/>
      <c r="E310" s="207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</row>
    <row r="311" ht="12.75" customHeight="1">
      <c r="A311" s="143"/>
      <c r="B311" s="143"/>
      <c r="C311" s="143"/>
      <c r="D311" s="10"/>
      <c r="E311" s="207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</row>
    <row r="312" ht="12.75" customHeight="1">
      <c r="A312" s="143"/>
      <c r="B312" s="143"/>
      <c r="C312" s="143"/>
      <c r="D312" s="10"/>
      <c r="E312" s="207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</row>
    <row r="313" ht="12.75" customHeight="1">
      <c r="A313" s="143"/>
      <c r="B313" s="143"/>
      <c r="C313" s="143"/>
      <c r="D313" s="10"/>
      <c r="E313" s="207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</row>
    <row r="314" ht="12.75" customHeight="1">
      <c r="A314" s="143"/>
      <c r="B314" s="143"/>
      <c r="C314" s="143"/>
      <c r="D314" s="10"/>
      <c r="E314" s="207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</row>
    <row r="315" ht="12.75" customHeight="1">
      <c r="A315" s="143"/>
      <c r="B315" s="143"/>
      <c r="C315" s="143"/>
      <c r="D315" s="10"/>
      <c r="E315" s="207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</row>
    <row r="316" ht="12.75" customHeight="1">
      <c r="A316" s="143"/>
      <c r="B316" s="143"/>
      <c r="C316" s="143"/>
      <c r="D316" s="10"/>
      <c r="E316" s="207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</row>
    <row r="317" ht="12.75" customHeight="1">
      <c r="A317" s="143"/>
      <c r="B317" s="143"/>
      <c r="C317" s="143"/>
      <c r="D317" s="10"/>
      <c r="E317" s="207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</row>
    <row r="318" ht="12.75" customHeight="1">
      <c r="A318" s="143"/>
      <c r="B318" s="143"/>
      <c r="C318" s="143"/>
      <c r="D318" s="10"/>
      <c r="E318" s="207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</row>
    <row r="319" ht="12.75" customHeight="1">
      <c r="A319" s="143"/>
      <c r="B319" s="143"/>
      <c r="C319" s="143"/>
      <c r="D319" s="10"/>
      <c r="E319" s="207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</row>
    <row r="320" ht="12.75" customHeight="1">
      <c r="A320" s="143"/>
      <c r="B320" s="143"/>
      <c r="C320" s="143"/>
      <c r="D320" s="10"/>
      <c r="E320" s="207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</row>
    <row r="321" ht="12.75" customHeight="1">
      <c r="A321" s="143"/>
      <c r="B321" s="143"/>
      <c r="C321" s="143"/>
      <c r="D321" s="10"/>
      <c r="E321" s="207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</row>
    <row r="322" ht="12.75" customHeight="1">
      <c r="A322" s="143"/>
      <c r="B322" s="143"/>
      <c r="C322" s="143"/>
      <c r="D322" s="10"/>
      <c r="E322" s="207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</row>
    <row r="323" ht="12.75" customHeight="1">
      <c r="A323" s="143"/>
      <c r="B323" s="143"/>
      <c r="C323" s="143"/>
      <c r="D323" s="10"/>
      <c r="E323" s="207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</row>
    <row r="324" ht="12.75" customHeight="1">
      <c r="A324" s="143"/>
      <c r="B324" s="143"/>
      <c r="C324" s="143"/>
      <c r="D324" s="10"/>
      <c r="E324" s="207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</row>
    <row r="325" ht="12.75" customHeight="1">
      <c r="A325" s="143"/>
      <c r="B325" s="143"/>
      <c r="C325" s="143"/>
      <c r="D325" s="10"/>
      <c r="E325" s="207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</row>
    <row r="326" ht="12.75" customHeight="1">
      <c r="A326" s="143"/>
      <c r="B326" s="143"/>
      <c r="C326" s="143"/>
      <c r="D326" s="10"/>
      <c r="E326" s="207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</row>
    <row r="327" ht="12.75" customHeight="1">
      <c r="A327" s="143"/>
      <c r="B327" s="143"/>
      <c r="C327" s="143"/>
      <c r="D327" s="10"/>
      <c r="E327" s="207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</row>
    <row r="328" ht="12.75" customHeight="1">
      <c r="A328" s="143"/>
      <c r="B328" s="143"/>
      <c r="C328" s="143"/>
      <c r="D328" s="10"/>
      <c r="E328" s="207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</row>
    <row r="329" ht="12.75" customHeight="1">
      <c r="A329" s="143"/>
      <c r="B329" s="143"/>
      <c r="C329" s="143"/>
      <c r="D329" s="10"/>
      <c r="E329" s="207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</row>
    <row r="330" ht="12.75" customHeight="1">
      <c r="A330" s="143"/>
      <c r="B330" s="143"/>
      <c r="C330" s="143"/>
      <c r="D330" s="10"/>
      <c r="E330" s="207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</row>
    <row r="331" ht="12.75" customHeight="1">
      <c r="A331" s="143"/>
      <c r="B331" s="143"/>
      <c r="C331" s="143"/>
      <c r="D331" s="10"/>
      <c r="E331" s="207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</row>
    <row r="332" ht="12.75" customHeight="1">
      <c r="A332" s="143"/>
      <c r="B332" s="143"/>
      <c r="C332" s="143"/>
      <c r="D332" s="10"/>
      <c r="E332" s="207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</row>
    <row r="333" ht="12.75" customHeight="1">
      <c r="A333" s="143"/>
      <c r="B333" s="143"/>
      <c r="C333" s="143"/>
      <c r="D333" s="10"/>
      <c r="E333" s="207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</row>
    <row r="334" ht="12.75" customHeight="1">
      <c r="A334" s="143"/>
      <c r="B334" s="143"/>
      <c r="C334" s="143"/>
      <c r="D334" s="10"/>
      <c r="E334" s="207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</row>
    <row r="335" ht="12.75" customHeight="1">
      <c r="A335" s="143"/>
      <c r="B335" s="143"/>
      <c r="C335" s="143"/>
      <c r="D335" s="10"/>
      <c r="E335" s="207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</row>
    <row r="336" ht="12.75" customHeight="1">
      <c r="A336" s="143"/>
      <c r="B336" s="143"/>
      <c r="C336" s="143"/>
      <c r="D336" s="10"/>
      <c r="E336" s="207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</row>
    <row r="337" ht="12.75" customHeight="1">
      <c r="A337" s="143"/>
      <c r="B337" s="143"/>
      <c r="C337" s="143"/>
      <c r="D337" s="10"/>
      <c r="E337" s="207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</row>
    <row r="338" ht="12.75" customHeight="1">
      <c r="A338" s="143"/>
      <c r="B338" s="143"/>
      <c r="C338" s="143"/>
      <c r="D338" s="10"/>
      <c r="E338" s="207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</row>
    <row r="339" ht="12.75" customHeight="1">
      <c r="A339" s="143"/>
      <c r="B339" s="143"/>
      <c r="C339" s="143"/>
      <c r="D339" s="10"/>
      <c r="E339" s="207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</row>
    <row r="340" ht="12.75" customHeight="1">
      <c r="A340" s="143"/>
      <c r="B340" s="143"/>
      <c r="C340" s="143"/>
      <c r="D340" s="10"/>
      <c r="E340" s="207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</row>
    <row r="341" ht="12.75" customHeight="1">
      <c r="A341" s="143"/>
      <c r="B341" s="143"/>
      <c r="C341" s="143"/>
      <c r="D341" s="10"/>
      <c r="E341" s="207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</row>
    <row r="342" ht="12.75" customHeight="1">
      <c r="A342" s="143"/>
      <c r="B342" s="143"/>
      <c r="C342" s="143"/>
      <c r="D342" s="10"/>
      <c r="E342" s="207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</row>
    <row r="343" ht="12.75" customHeight="1">
      <c r="A343" s="143"/>
      <c r="B343" s="143"/>
      <c r="C343" s="143"/>
      <c r="D343" s="10"/>
      <c r="E343" s="207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</row>
    <row r="344" ht="12.75" customHeight="1">
      <c r="A344" s="143"/>
      <c r="B344" s="143"/>
      <c r="C344" s="143"/>
      <c r="D344" s="10"/>
      <c r="E344" s="207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</row>
    <row r="345" ht="12.75" customHeight="1">
      <c r="A345" s="143"/>
      <c r="B345" s="143"/>
      <c r="C345" s="143"/>
      <c r="D345" s="10"/>
      <c r="E345" s="207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</row>
    <row r="346" ht="12.75" customHeight="1">
      <c r="A346" s="143"/>
      <c r="B346" s="143"/>
      <c r="C346" s="143"/>
      <c r="D346" s="10"/>
      <c r="E346" s="207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</row>
    <row r="347" ht="12.75" customHeight="1">
      <c r="A347" s="143"/>
      <c r="B347" s="143"/>
      <c r="C347" s="143"/>
      <c r="D347" s="10"/>
      <c r="E347" s="207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</row>
    <row r="348" ht="12.75" customHeight="1">
      <c r="A348" s="143"/>
      <c r="B348" s="143"/>
      <c r="C348" s="143"/>
      <c r="D348" s="10"/>
      <c r="E348" s="207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</row>
    <row r="349" ht="12.75" customHeight="1">
      <c r="A349" s="143"/>
      <c r="B349" s="143"/>
      <c r="C349" s="143"/>
      <c r="D349" s="10"/>
      <c r="E349" s="207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</row>
    <row r="350" ht="12.75" customHeight="1">
      <c r="A350" s="143"/>
      <c r="B350" s="143"/>
      <c r="C350" s="143"/>
      <c r="D350" s="10"/>
      <c r="E350" s="207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</row>
    <row r="351" ht="12.75" customHeight="1">
      <c r="A351" s="143"/>
      <c r="B351" s="143"/>
      <c r="C351" s="143"/>
      <c r="D351" s="10"/>
      <c r="E351" s="207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</row>
    <row r="352" ht="12.75" customHeight="1">
      <c r="A352" s="143"/>
      <c r="B352" s="143"/>
      <c r="C352" s="143"/>
      <c r="D352" s="10"/>
      <c r="E352" s="207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</row>
    <row r="353" ht="12.75" customHeight="1">
      <c r="A353" s="143"/>
      <c r="B353" s="143"/>
      <c r="C353" s="143"/>
      <c r="D353" s="10"/>
      <c r="E353" s="207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</row>
    <row r="354" ht="12.75" customHeight="1">
      <c r="A354" s="143"/>
      <c r="B354" s="143"/>
      <c r="C354" s="143"/>
      <c r="D354" s="10"/>
      <c r="E354" s="207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</row>
    <row r="355" ht="12.75" customHeight="1">
      <c r="A355" s="143"/>
      <c r="B355" s="143"/>
      <c r="C355" s="143"/>
      <c r="D355" s="10"/>
      <c r="E355" s="207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</row>
    <row r="356" ht="12.75" customHeight="1">
      <c r="A356" s="143"/>
      <c r="B356" s="143"/>
      <c r="C356" s="143"/>
      <c r="D356" s="10"/>
      <c r="E356" s="207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</row>
    <row r="357" ht="12.75" customHeight="1">
      <c r="A357" s="143"/>
      <c r="B357" s="143"/>
      <c r="C357" s="143"/>
      <c r="D357" s="10"/>
      <c r="E357" s="207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</row>
    <row r="358" ht="12.75" customHeight="1">
      <c r="A358" s="143"/>
      <c r="B358" s="143"/>
      <c r="C358" s="143"/>
      <c r="D358" s="10"/>
      <c r="E358" s="207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</row>
    <row r="359" ht="12.75" customHeight="1">
      <c r="A359" s="143"/>
      <c r="B359" s="143"/>
      <c r="C359" s="143"/>
      <c r="D359" s="10"/>
      <c r="E359" s="207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</row>
    <row r="360" ht="12.75" customHeight="1">
      <c r="A360" s="143"/>
      <c r="B360" s="143"/>
      <c r="C360" s="143"/>
      <c r="D360" s="10"/>
      <c r="E360" s="207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</row>
    <row r="361" ht="12.75" customHeight="1">
      <c r="A361" s="143"/>
      <c r="B361" s="143"/>
      <c r="C361" s="143"/>
      <c r="D361" s="10"/>
      <c r="E361" s="207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</row>
    <row r="362" ht="12.75" customHeight="1">
      <c r="A362" s="143"/>
      <c r="B362" s="143"/>
      <c r="C362" s="143"/>
      <c r="D362" s="10"/>
      <c r="E362" s="207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</row>
    <row r="363" ht="12.75" customHeight="1">
      <c r="A363" s="143"/>
      <c r="B363" s="143"/>
      <c r="C363" s="143"/>
      <c r="D363" s="10"/>
      <c r="E363" s="207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</row>
    <row r="364" ht="12.75" customHeight="1">
      <c r="A364" s="143"/>
      <c r="B364" s="143"/>
      <c r="C364" s="143"/>
      <c r="D364" s="10"/>
      <c r="E364" s="207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</row>
    <row r="365" ht="12.75" customHeight="1">
      <c r="A365" s="143"/>
      <c r="B365" s="143"/>
      <c r="C365" s="143"/>
      <c r="D365" s="10"/>
      <c r="E365" s="207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</row>
    <row r="366" ht="12.75" customHeight="1">
      <c r="A366" s="143"/>
      <c r="B366" s="143"/>
      <c r="C366" s="143"/>
      <c r="D366" s="10"/>
      <c r="E366" s="207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</row>
    <row r="367" ht="12.75" customHeight="1">
      <c r="A367" s="143"/>
      <c r="B367" s="143"/>
      <c r="C367" s="143"/>
      <c r="D367" s="10"/>
      <c r="E367" s="207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</row>
    <row r="368" ht="12.75" customHeight="1">
      <c r="A368" s="143"/>
      <c r="B368" s="143"/>
      <c r="C368" s="143"/>
      <c r="D368" s="10"/>
      <c r="E368" s="207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</row>
    <row r="369" ht="12.75" customHeight="1">
      <c r="A369" s="143"/>
      <c r="B369" s="143"/>
      <c r="C369" s="143"/>
      <c r="D369" s="10"/>
      <c r="E369" s="207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</row>
    <row r="370" ht="12.75" customHeight="1">
      <c r="A370" s="143"/>
      <c r="B370" s="143"/>
      <c r="C370" s="143"/>
      <c r="D370" s="10"/>
      <c r="E370" s="207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</row>
    <row r="371" ht="12.75" customHeight="1">
      <c r="A371" s="143"/>
      <c r="B371" s="143"/>
      <c r="C371" s="143"/>
      <c r="D371" s="10"/>
      <c r="E371" s="207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</row>
    <row r="372" ht="12.75" customHeight="1">
      <c r="A372" s="143"/>
      <c r="B372" s="143"/>
      <c r="C372" s="143"/>
      <c r="D372" s="10"/>
      <c r="E372" s="207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</row>
    <row r="373" ht="12.75" customHeight="1">
      <c r="A373" s="143"/>
      <c r="B373" s="143"/>
      <c r="C373" s="143"/>
      <c r="D373" s="10"/>
      <c r="E373" s="207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</row>
    <row r="374" ht="12.75" customHeight="1">
      <c r="A374" s="143"/>
      <c r="B374" s="143"/>
      <c r="C374" s="143"/>
      <c r="D374" s="10"/>
      <c r="E374" s="207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</row>
    <row r="375" ht="12.75" customHeight="1">
      <c r="A375" s="143"/>
      <c r="B375" s="143"/>
      <c r="C375" s="143"/>
      <c r="D375" s="10"/>
      <c r="E375" s="207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</row>
    <row r="376" ht="12.75" customHeight="1">
      <c r="A376" s="143"/>
      <c r="B376" s="143"/>
      <c r="C376" s="143"/>
      <c r="D376" s="10"/>
      <c r="E376" s="207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</row>
    <row r="377" ht="12.75" customHeight="1">
      <c r="A377" s="143"/>
      <c r="B377" s="143"/>
      <c r="C377" s="143"/>
      <c r="D377" s="10"/>
      <c r="E377" s="207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</row>
    <row r="378" ht="12.75" customHeight="1">
      <c r="A378" s="143"/>
      <c r="B378" s="143"/>
      <c r="C378" s="143"/>
      <c r="D378" s="10"/>
      <c r="E378" s="207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</row>
    <row r="379" ht="12.75" customHeight="1">
      <c r="A379" s="143"/>
      <c r="B379" s="143"/>
      <c r="C379" s="143"/>
      <c r="D379" s="10"/>
      <c r="E379" s="207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</row>
    <row r="380" ht="12.75" customHeight="1">
      <c r="A380" s="143"/>
      <c r="B380" s="143"/>
      <c r="C380" s="143"/>
      <c r="D380" s="10"/>
      <c r="E380" s="207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</row>
    <row r="381" ht="12.75" customHeight="1">
      <c r="A381" s="143"/>
      <c r="B381" s="143"/>
      <c r="C381" s="143"/>
      <c r="D381" s="10"/>
      <c r="E381" s="207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</row>
    <row r="382" ht="12.75" customHeight="1">
      <c r="A382" s="143"/>
      <c r="B382" s="143"/>
      <c r="C382" s="143"/>
      <c r="D382" s="10"/>
      <c r="E382" s="207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</row>
    <row r="383" ht="12.75" customHeight="1">
      <c r="A383" s="143"/>
      <c r="B383" s="143"/>
      <c r="C383" s="143"/>
      <c r="D383" s="10"/>
      <c r="E383" s="207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</row>
    <row r="384" ht="12.75" customHeight="1">
      <c r="A384" s="143"/>
      <c r="B384" s="143"/>
      <c r="C384" s="143"/>
      <c r="D384" s="10"/>
      <c r="E384" s="207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</row>
    <row r="385" ht="12.75" customHeight="1">
      <c r="A385" s="143"/>
      <c r="B385" s="143"/>
      <c r="C385" s="143"/>
      <c r="D385" s="10"/>
      <c r="E385" s="207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</row>
    <row r="386" ht="12.75" customHeight="1">
      <c r="A386" s="143"/>
      <c r="B386" s="143"/>
      <c r="C386" s="143"/>
      <c r="D386" s="10"/>
      <c r="E386" s="207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</row>
    <row r="387" ht="12.75" customHeight="1">
      <c r="A387" s="143"/>
      <c r="B387" s="143"/>
      <c r="C387" s="143"/>
      <c r="D387" s="10"/>
      <c r="E387" s="207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</row>
    <row r="388" ht="12.75" customHeight="1">
      <c r="A388" s="143"/>
      <c r="B388" s="143"/>
      <c r="C388" s="143"/>
      <c r="D388" s="10"/>
      <c r="E388" s="207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</row>
    <row r="389" ht="12.75" customHeight="1">
      <c r="A389" s="143"/>
      <c r="B389" s="143"/>
      <c r="C389" s="143"/>
      <c r="D389" s="10"/>
      <c r="E389" s="207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</row>
    <row r="390" ht="12.75" customHeight="1">
      <c r="A390" s="143"/>
      <c r="B390" s="143"/>
      <c r="C390" s="143"/>
      <c r="D390" s="10"/>
      <c r="E390" s="207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</row>
    <row r="391" ht="12.75" customHeight="1">
      <c r="A391" s="143"/>
      <c r="B391" s="143"/>
      <c r="C391" s="143"/>
      <c r="D391" s="10"/>
      <c r="E391" s="207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</row>
    <row r="392" ht="12.75" customHeight="1">
      <c r="A392" s="143"/>
      <c r="B392" s="143"/>
      <c r="C392" s="143"/>
      <c r="D392" s="10"/>
      <c r="E392" s="207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</row>
    <row r="393" ht="12.75" customHeight="1">
      <c r="A393" s="143"/>
      <c r="B393" s="143"/>
      <c r="C393" s="143"/>
      <c r="D393" s="10"/>
      <c r="E393" s="207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</row>
    <row r="394" ht="12.75" customHeight="1">
      <c r="A394" s="143"/>
      <c r="B394" s="143"/>
      <c r="C394" s="143"/>
      <c r="D394" s="10"/>
      <c r="E394" s="207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</row>
    <row r="395" ht="12.75" customHeight="1">
      <c r="A395" s="143"/>
      <c r="B395" s="143"/>
      <c r="C395" s="143"/>
      <c r="D395" s="10"/>
      <c r="E395" s="207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</row>
    <row r="396" ht="12.75" customHeight="1">
      <c r="A396" s="143"/>
      <c r="B396" s="143"/>
      <c r="C396" s="143"/>
      <c r="D396" s="10"/>
      <c r="E396" s="207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</row>
    <row r="397" ht="12.75" customHeight="1">
      <c r="A397" s="143"/>
      <c r="B397" s="143"/>
      <c r="C397" s="143"/>
      <c r="D397" s="10"/>
      <c r="E397" s="207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</row>
    <row r="398" ht="12.75" customHeight="1">
      <c r="A398" s="143"/>
      <c r="B398" s="143"/>
      <c r="C398" s="143"/>
      <c r="D398" s="10"/>
      <c r="E398" s="207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</row>
    <row r="399" ht="12.75" customHeight="1">
      <c r="A399" s="143"/>
      <c r="B399" s="143"/>
      <c r="C399" s="143"/>
      <c r="D399" s="10"/>
      <c r="E399" s="207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</row>
    <row r="400" ht="12.75" customHeight="1">
      <c r="A400" s="143"/>
      <c r="B400" s="143"/>
      <c r="C400" s="143"/>
      <c r="D400" s="10"/>
      <c r="E400" s="207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</row>
    <row r="401" ht="12.75" customHeight="1">
      <c r="A401" s="143"/>
      <c r="B401" s="143"/>
      <c r="C401" s="143"/>
      <c r="D401" s="10"/>
      <c r="E401" s="207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</row>
    <row r="402" ht="12.75" customHeight="1">
      <c r="A402" s="143"/>
      <c r="B402" s="143"/>
      <c r="C402" s="143"/>
      <c r="D402" s="10"/>
      <c r="E402" s="207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</row>
    <row r="403" ht="12.75" customHeight="1">
      <c r="A403" s="143"/>
      <c r="B403" s="143"/>
      <c r="C403" s="143"/>
      <c r="D403" s="10"/>
      <c r="E403" s="207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</row>
    <row r="404" ht="12.75" customHeight="1">
      <c r="A404" s="143"/>
      <c r="B404" s="143"/>
      <c r="C404" s="143"/>
      <c r="D404" s="10"/>
      <c r="E404" s="207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</row>
    <row r="405" ht="12.75" customHeight="1">
      <c r="A405" s="143"/>
      <c r="B405" s="143"/>
      <c r="C405" s="143"/>
      <c r="D405" s="10"/>
      <c r="E405" s="207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</row>
    <row r="406" ht="12.75" customHeight="1">
      <c r="A406" s="143"/>
      <c r="B406" s="143"/>
      <c r="C406" s="143"/>
      <c r="D406" s="10"/>
      <c r="E406" s="207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</row>
    <row r="407" ht="12.75" customHeight="1">
      <c r="A407" s="143"/>
      <c r="B407" s="143"/>
      <c r="C407" s="143"/>
      <c r="D407" s="10"/>
      <c r="E407" s="207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</row>
    <row r="408" ht="12.75" customHeight="1">
      <c r="A408" s="143"/>
      <c r="B408" s="143"/>
      <c r="C408" s="143"/>
      <c r="D408" s="10"/>
      <c r="E408" s="207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</row>
    <row r="409" ht="12.75" customHeight="1">
      <c r="A409" s="143"/>
      <c r="B409" s="143"/>
      <c r="C409" s="143"/>
      <c r="D409" s="10"/>
      <c r="E409" s="207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</row>
    <row r="410" ht="12.75" customHeight="1">
      <c r="A410" s="143"/>
      <c r="B410" s="143"/>
      <c r="C410" s="143"/>
      <c r="D410" s="10"/>
      <c r="E410" s="207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</row>
    <row r="411" ht="12.75" customHeight="1">
      <c r="A411" s="143"/>
      <c r="B411" s="143"/>
      <c r="C411" s="143"/>
      <c r="D411" s="10"/>
      <c r="E411" s="207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</row>
    <row r="412" ht="12.75" customHeight="1">
      <c r="A412" s="143"/>
      <c r="B412" s="143"/>
      <c r="C412" s="143"/>
      <c r="D412" s="10"/>
      <c r="E412" s="207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</row>
    <row r="413" ht="12.75" customHeight="1">
      <c r="A413" s="143"/>
      <c r="B413" s="143"/>
      <c r="C413" s="143"/>
      <c r="D413" s="10"/>
      <c r="E413" s="207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</row>
    <row r="414" ht="12.75" customHeight="1">
      <c r="A414" s="143"/>
      <c r="B414" s="143"/>
      <c r="C414" s="143"/>
      <c r="D414" s="10"/>
      <c r="E414" s="207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</row>
    <row r="415" ht="12.75" customHeight="1">
      <c r="A415" s="143"/>
      <c r="B415" s="143"/>
      <c r="C415" s="143"/>
      <c r="D415" s="10"/>
      <c r="E415" s="207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</row>
    <row r="416" ht="12.75" customHeight="1">
      <c r="A416" s="143"/>
      <c r="B416" s="143"/>
      <c r="C416" s="143"/>
      <c r="D416" s="10"/>
      <c r="E416" s="207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</row>
    <row r="417" ht="12.75" customHeight="1">
      <c r="A417" s="143"/>
      <c r="B417" s="143"/>
      <c r="C417" s="143"/>
      <c r="D417" s="10"/>
      <c r="E417" s="207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</row>
    <row r="418" ht="12.75" customHeight="1">
      <c r="A418" s="143"/>
      <c r="B418" s="143"/>
      <c r="C418" s="143"/>
      <c r="D418" s="10"/>
      <c r="E418" s="207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</row>
    <row r="419" ht="12.75" customHeight="1">
      <c r="A419" s="143"/>
      <c r="B419" s="143"/>
      <c r="C419" s="143"/>
      <c r="D419" s="10"/>
      <c r="E419" s="207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</row>
    <row r="420" ht="12.75" customHeight="1">
      <c r="A420" s="143"/>
      <c r="B420" s="143"/>
      <c r="C420" s="143"/>
      <c r="D420" s="10"/>
      <c r="E420" s="207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</row>
    <row r="421" ht="12.75" customHeight="1">
      <c r="A421" s="143"/>
      <c r="B421" s="143"/>
      <c r="C421" s="143"/>
      <c r="D421" s="10"/>
      <c r="E421" s="207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</row>
    <row r="422" ht="12.75" customHeight="1">
      <c r="A422" s="143"/>
      <c r="B422" s="143"/>
      <c r="C422" s="143"/>
      <c r="D422" s="10"/>
      <c r="E422" s="207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</row>
    <row r="423" ht="12.75" customHeight="1">
      <c r="A423" s="143"/>
      <c r="B423" s="143"/>
      <c r="C423" s="143"/>
      <c r="D423" s="10"/>
      <c r="E423" s="207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</row>
    <row r="424" ht="12.75" customHeight="1">
      <c r="A424" s="143"/>
      <c r="B424" s="143"/>
      <c r="C424" s="143"/>
      <c r="D424" s="10"/>
      <c r="E424" s="207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</row>
    <row r="425" ht="12.75" customHeight="1">
      <c r="A425" s="143"/>
      <c r="B425" s="143"/>
      <c r="C425" s="143"/>
      <c r="D425" s="10"/>
      <c r="E425" s="207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</row>
    <row r="426" ht="12.75" customHeight="1">
      <c r="A426" s="143"/>
      <c r="B426" s="143"/>
      <c r="C426" s="143"/>
      <c r="D426" s="10"/>
      <c r="E426" s="207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</row>
    <row r="427" ht="12.75" customHeight="1">
      <c r="A427" s="143"/>
      <c r="B427" s="143"/>
      <c r="C427" s="143"/>
      <c r="D427" s="10"/>
      <c r="E427" s="207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</row>
    <row r="428" ht="12.75" customHeight="1">
      <c r="A428" s="143"/>
      <c r="B428" s="143"/>
      <c r="C428" s="143"/>
      <c r="D428" s="10"/>
      <c r="E428" s="207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</row>
    <row r="429" ht="12.75" customHeight="1">
      <c r="A429" s="143"/>
      <c r="B429" s="143"/>
      <c r="C429" s="143"/>
      <c r="D429" s="10"/>
      <c r="E429" s="207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</row>
    <row r="430" ht="12.75" customHeight="1">
      <c r="A430" s="143"/>
      <c r="B430" s="143"/>
      <c r="C430" s="143"/>
      <c r="D430" s="10"/>
      <c r="E430" s="207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</row>
    <row r="431" ht="12.75" customHeight="1">
      <c r="A431" s="143"/>
      <c r="B431" s="143"/>
      <c r="C431" s="143"/>
      <c r="D431" s="10"/>
      <c r="E431" s="207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</row>
    <row r="432" ht="12.75" customHeight="1">
      <c r="A432" s="143"/>
      <c r="B432" s="143"/>
      <c r="C432" s="143"/>
      <c r="D432" s="10"/>
      <c r="E432" s="207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</row>
    <row r="433" ht="12.75" customHeight="1">
      <c r="A433" s="143"/>
      <c r="B433" s="143"/>
      <c r="C433" s="143"/>
      <c r="D433" s="10"/>
      <c r="E433" s="207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</row>
    <row r="434" ht="12.75" customHeight="1">
      <c r="A434" s="143"/>
      <c r="B434" s="143"/>
      <c r="C434" s="143"/>
      <c r="D434" s="10"/>
      <c r="E434" s="207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</row>
    <row r="435" ht="12.75" customHeight="1">
      <c r="A435" s="143"/>
      <c r="B435" s="143"/>
      <c r="C435" s="143"/>
      <c r="D435" s="10"/>
      <c r="E435" s="207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</row>
    <row r="436" ht="12.75" customHeight="1">
      <c r="A436" s="143"/>
      <c r="B436" s="143"/>
      <c r="C436" s="143"/>
      <c r="D436" s="10"/>
      <c r="E436" s="207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</row>
    <row r="437" ht="12.75" customHeight="1">
      <c r="A437" s="143"/>
      <c r="B437" s="143"/>
      <c r="C437" s="143"/>
      <c r="D437" s="10"/>
      <c r="E437" s="207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</row>
    <row r="438" ht="12.75" customHeight="1">
      <c r="A438" s="143"/>
      <c r="B438" s="143"/>
      <c r="C438" s="143"/>
      <c r="D438" s="10"/>
      <c r="E438" s="207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</row>
    <row r="439" ht="12.75" customHeight="1">
      <c r="A439" s="143"/>
      <c r="B439" s="143"/>
      <c r="C439" s="143"/>
      <c r="D439" s="10"/>
      <c r="E439" s="207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</row>
    <row r="440" ht="12.75" customHeight="1">
      <c r="A440" s="143"/>
      <c r="B440" s="143"/>
      <c r="C440" s="143"/>
      <c r="D440" s="10"/>
      <c r="E440" s="207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</row>
    <row r="441" ht="12.75" customHeight="1">
      <c r="A441" s="143"/>
      <c r="B441" s="143"/>
      <c r="C441" s="143"/>
      <c r="D441" s="10"/>
      <c r="E441" s="207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</row>
    <row r="442" ht="12.75" customHeight="1">
      <c r="A442" s="143"/>
      <c r="B442" s="143"/>
      <c r="C442" s="143"/>
      <c r="D442" s="10"/>
      <c r="E442" s="207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</row>
    <row r="443" ht="12.75" customHeight="1">
      <c r="A443" s="143"/>
      <c r="B443" s="143"/>
      <c r="C443" s="143"/>
      <c r="D443" s="10"/>
      <c r="E443" s="207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</row>
    <row r="444" ht="12.75" customHeight="1">
      <c r="A444" s="143"/>
      <c r="B444" s="143"/>
      <c r="C444" s="143"/>
      <c r="D444" s="10"/>
      <c r="E444" s="207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</row>
    <row r="445" ht="12.75" customHeight="1">
      <c r="A445" s="143"/>
      <c r="B445" s="143"/>
      <c r="C445" s="143"/>
      <c r="D445" s="10"/>
      <c r="E445" s="207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</row>
    <row r="446" ht="12.75" customHeight="1">
      <c r="A446" s="143"/>
      <c r="B446" s="143"/>
      <c r="C446" s="143"/>
      <c r="D446" s="10"/>
      <c r="E446" s="207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</row>
    <row r="447" ht="12.75" customHeight="1">
      <c r="A447" s="143"/>
      <c r="B447" s="143"/>
      <c r="C447" s="143"/>
      <c r="D447" s="10"/>
      <c r="E447" s="207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</row>
    <row r="448" ht="12.75" customHeight="1">
      <c r="A448" s="143"/>
      <c r="B448" s="143"/>
      <c r="C448" s="143"/>
      <c r="D448" s="10"/>
      <c r="E448" s="207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</row>
    <row r="449" ht="12.75" customHeight="1">
      <c r="A449" s="143"/>
      <c r="B449" s="143"/>
      <c r="C449" s="143"/>
      <c r="D449" s="10"/>
      <c r="E449" s="207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</row>
    <row r="450" ht="12.75" customHeight="1">
      <c r="A450" s="143"/>
      <c r="B450" s="143"/>
      <c r="C450" s="143"/>
      <c r="D450" s="10"/>
      <c r="E450" s="207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</row>
    <row r="451" ht="12.75" customHeight="1">
      <c r="A451" s="143"/>
      <c r="B451" s="143"/>
      <c r="C451" s="143"/>
      <c r="D451" s="10"/>
      <c r="E451" s="207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</row>
    <row r="452" ht="12.75" customHeight="1">
      <c r="A452" s="143"/>
      <c r="B452" s="143"/>
      <c r="C452" s="143"/>
      <c r="D452" s="10"/>
      <c r="E452" s="207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</row>
    <row r="453" ht="12.75" customHeight="1">
      <c r="A453" s="143"/>
      <c r="B453" s="143"/>
      <c r="C453" s="143"/>
      <c r="D453" s="10"/>
      <c r="E453" s="207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</row>
    <row r="454" ht="12.75" customHeight="1">
      <c r="A454" s="143"/>
      <c r="B454" s="143"/>
      <c r="C454" s="143"/>
      <c r="D454" s="10"/>
      <c r="E454" s="207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</row>
    <row r="455" ht="12.75" customHeight="1">
      <c r="A455" s="143"/>
      <c r="B455" s="143"/>
      <c r="C455" s="143"/>
      <c r="D455" s="10"/>
      <c r="E455" s="207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</row>
    <row r="456" ht="12.75" customHeight="1">
      <c r="A456" s="143"/>
      <c r="B456" s="143"/>
      <c r="C456" s="143"/>
      <c r="D456" s="10"/>
      <c r="E456" s="207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</row>
    <row r="457" ht="12.75" customHeight="1">
      <c r="A457" s="143"/>
      <c r="B457" s="143"/>
      <c r="C457" s="143"/>
      <c r="D457" s="10"/>
      <c r="E457" s="207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</row>
    <row r="458" ht="12.75" customHeight="1">
      <c r="A458" s="143"/>
      <c r="B458" s="143"/>
      <c r="C458" s="143"/>
      <c r="D458" s="10"/>
      <c r="E458" s="207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</row>
    <row r="459" ht="12.75" customHeight="1">
      <c r="A459" s="143"/>
      <c r="B459" s="143"/>
      <c r="C459" s="143"/>
      <c r="D459" s="10"/>
      <c r="E459" s="207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</row>
    <row r="460" ht="12.75" customHeight="1">
      <c r="A460" s="143"/>
      <c r="B460" s="143"/>
      <c r="C460" s="143"/>
      <c r="D460" s="10"/>
      <c r="E460" s="207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</row>
    <row r="461" ht="12.75" customHeight="1">
      <c r="A461" s="143"/>
      <c r="B461" s="143"/>
      <c r="C461" s="143"/>
      <c r="D461" s="10"/>
      <c r="E461" s="207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</row>
    <row r="462" ht="12.75" customHeight="1">
      <c r="A462" s="143"/>
      <c r="B462" s="143"/>
      <c r="C462" s="143"/>
      <c r="D462" s="10"/>
      <c r="E462" s="207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</row>
    <row r="463" ht="12.75" customHeight="1">
      <c r="A463" s="143"/>
      <c r="B463" s="143"/>
      <c r="C463" s="143"/>
      <c r="D463" s="10"/>
      <c r="E463" s="207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</row>
    <row r="464" ht="12.75" customHeight="1">
      <c r="A464" s="143"/>
      <c r="B464" s="143"/>
      <c r="C464" s="143"/>
      <c r="D464" s="10"/>
      <c r="E464" s="207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</row>
    <row r="465" ht="12.75" customHeight="1">
      <c r="A465" s="143"/>
      <c r="B465" s="143"/>
      <c r="C465" s="143"/>
      <c r="D465" s="10"/>
      <c r="E465" s="207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</row>
    <row r="466" ht="12.75" customHeight="1">
      <c r="A466" s="143"/>
      <c r="B466" s="143"/>
      <c r="C466" s="143"/>
      <c r="D466" s="10"/>
      <c r="E466" s="207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</row>
    <row r="467" ht="12.75" customHeight="1">
      <c r="A467" s="143"/>
      <c r="B467" s="143"/>
      <c r="C467" s="143"/>
      <c r="D467" s="10"/>
      <c r="E467" s="207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</row>
    <row r="468" ht="12.75" customHeight="1">
      <c r="A468" s="143"/>
      <c r="B468" s="143"/>
      <c r="C468" s="143"/>
      <c r="D468" s="10"/>
      <c r="E468" s="207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</row>
    <row r="469" ht="12.75" customHeight="1">
      <c r="A469" s="143"/>
      <c r="B469" s="143"/>
      <c r="C469" s="143"/>
      <c r="D469" s="10"/>
      <c r="E469" s="207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</row>
    <row r="470" ht="12.75" customHeight="1">
      <c r="A470" s="143"/>
      <c r="B470" s="143"/>
      <c r="C470" s="143"/>
      <c r="D470" s="10"/>
      <c r="E470" s="207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</row>
    <row r="471" ht="12.75" customHeight="1">
      <c r="A471" s="143"/>
      <c r="B471" s="143"/>
      <c r="C471" s="143"/>
      <c r="D471" s="10"/>
      <c r="E471" s="207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</row>
    <row r="472" ht="12.75" customHeight="1">
      <c r="A472" s="143"/>
      <c r="B472" s="143"/>
      <c r="C472" s="143"/>
      <c r="D472" s="10"/>
      <c r="E472" s="207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</row>
    <row r="473" ht="12.75" customHeight="1">
      <c r="A473" s="143"/>
      <c r="B473" s="143"/>
      <c r="C473" s="143"/>
      <c r="D473" s="10"/>
      <c r="E473" s="207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</row>
    <row r="474" ht="12.75" customHeight="1">
      <c r="A474" s="143"/>
      <c r="B474" s="143"/>
      <c r="C474" s="143"/>
      <c r="D474" s="10"/>
      <c r="E474" s="207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</row>
    <row r="475" ht="12.75" customHeight="1">
      <c r="A475" s="143"/>
      <c r="B475" s="143"/>
      <c r="C475" s="143"/>
      <c r="D475" s="10"/>
      <c r="E475" s="207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</row>
    <row r="476" ht="12.75" customHeight="1">
      <c r="A476" s="143"/>
      <c r="B476" s="143"/>
      <c r="C476" s="143"/>
      <c r="D476" s="10"/>
      <c r="E476" s="207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</row>
    <row r="477" ht="12.75" customHeight="1">
      <c r="A477" s="143"/>
      <c r="B477" s="143"/>
      <c r="C477" s="143"/>
      <c r="D477" s="10"/>
      <c r="E477" s="207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</row>
    <row r="478" ht="12.75" customHeight="1">
      <c r="A478" s="143"/>
      <c r="B478" s="143"/>
      <c r="C478" s="143"/>
      <c r="D478" s="10"/>
      <c r="E478" s="207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</row>
    <row r="479" ht="12.75" customHeight="1">
      <c r="A479" s="143"/>
      <c r="B479" s="143"/>
      <c r="C479" s="143"/>
      <c r="D479" s="10"/>
      <c r="E479" s="207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</row>
    <row r="480" ht="12.75" customHeight="1">
      <c r="A480" s="143"/>
      <c r="B480" s="143"/>
      <c r="C480" s="143"/>
      <c r="D480" s="10"/>
      <c r="E480" s="207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</row>
    <row r="481" ht="12.75" customHeight="1">
      <c r="A481" s="143"/>
      <c r="B481" s="143"/>
      <c r="C481" s="143"/>
      <c r="D481" s="10"/>
      <c r="E481" s="207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</row>
    <row r="482" ht="12.75" customHeight="1">
      <c r="A482" s="143"/>
      <c r="B482" s="143"/>
      <c r="C482" s="143"/>
      <c r="D482" s="10"/>
      <c r="E482" s="207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</row>
    <row r="483" ht="12.75" customHeight="1">
      <c r="A483" s="143"/>
      <c r="B483" s="143"/>
      <c r="C483" s="143"/>
      <c r="D483" s="10"/>
      <c r="E483" s="207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</row>
    <row r="484" ht="12.75" customHeight="1">
      <c r="A484" s="143"/>
      <c r="B484" s="143"/>
      <c r="C484" s="143"/>
      <c r="D484" s="10"/>
      <c r="E484" s="207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</row>
    <row r="485" ht="12.75" customHeight="1">
      <c r="A485" s="143"/>
      <c r="B485" s="143"/>
      <c r="C485" s="143"/>
      <c r="D485" s="10"/>
      <c r="E485" s="207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</row>
    <row r="486" ht="12.75" customHeight="1">
      <c r="A486" s="143"/>
      <c r="B486" s="143"/>
      <c r="C486" s="143"/>
      <c r="D486" s="10"/>
      <c r="E486" s="207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</row>
    <row r="487" ht="12.75" customHeight="1">
      <c r="A487" s="143"/>
      <c r="B487" s="143"/>
      <c r="C487" s="143"/>
      <c r="D487" s="10"/>
      <c r="E487" s="207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</row>
    <row r="488" ht="12.75" customHeight="1">
      <c r="A488" s="143"/>
      <c r="B488" s="143"/>
      <c r="C488" s="143"/>
      <c r="D488" s="10"/>
      <c r="E488" s="207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</row>
    <row r="489" ht="12.75" customHeight="1">
      <c r="A489" s="143"/>
      <c r="B489" s="143"/>
      <c r="C489" s="143"/>
      <c r="D489" s="10"/>
      <c r="E489" s="207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</row>
    <row r="490" ht="12.75" customHeight="1">
      <c r="A490" s="143"/>
      <c r="B490" s="143"/>
      <c r="C490" s="143"/>
      <c r="D490" s="10"/>
      <c r="E490" s="207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</row>
    <row r="491" ht="12.75" customHeight="1">
      <c r="A491" s="143"/>
      <c r="B491" s="143"/>
      <c r="C491" s="143"/>
      <c r="D491" s="10"/>
      <c r="E491" s="207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</row>
    <row r="492" ht="12.75" customHeight="1">
      <c r="A492" s="143"/>
      <c r="B492" s="143"/>
      <c r="C492" s="143"/>
      <c r="D492" s="10"/>
      <c r="E492" s="207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</row>
    <row r="493" ht="12.75" customHeight="1">
      <c r="A493" s="143"/>
      <c r="B493" s="143"/>
      <c r="C493" s="143"/>
      <c r="D493" s="10"/>
      <c r="E493" s="207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</row>
    <row r="494" ht="12.75" customHeight="1">
      <c r="A494" s="143"/>
      <c r="B494" s="143"/>
      <c r="C494" s="143"/>
      <c r="D494" s="10"/>
      <c r="E494" s="207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</row>
    <row r="495" ht="12.75" customHeight="1">
      <c r="A495" s="143"/>
      <c r="B495" s="143"/>
      <c r="C495" s="143"/>
      <c r="D495" s="10"/>
      <c r="E495" s="207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</row>
    <row r="496" ht="12.75" customHeight="1">
      <c r="A496" s="143"/>
      <c r="B496" s="143"/>
      <c r="C496" s="143"/>
      <c r="D496" s="10"/>
      <c r="E496" s="207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</row>
    <row r="497" ht="12.75" customHeight="1">
      <c r="A497" s="143"/>
      <c r="B497" s="143"/>
      <c r="C497" s="143"/>
      <c r="D497" s="10"/>
      <c r="E497" s="207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</row>
    <row r="498" ht="12.75" customHeight="1">
      <c r="A498" s="143"/>
      <c r="B498" s="143"/>
      <c r="C498" s="143"/>
      <c r="D498" s="10"/>
      <c r="E498" s="207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</row>
    <row r="499" ht="12.75" customHeight="1">
      <c r="A499" s="143"/>
      <c r="B499" s="143"/>
      <c r="C499" s="143"/>
      <c r="D499" s="10"/>
      <c r="E499" s="207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</row>
    <row r="500" ht="12.75" customHeight="1">
      <c r="A500" s="143"/>
      <c r="B500" s="143"/>
      <c r="C500" s="143"/>
      <c r="D500" s="10"/>
      <c r="E500" s="207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</row>
    <row r="501" ht="12.75" customHeight="1">
      <c r="A501" s="143"/>
      <c r="B501" s="143"/>
      <c r="C501" s="143"/>
      <c r="D501" s="10"/>
      <c r="E501" s="207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</row>
    <row r="502" ht="12.75" customHeight="1">
      <c r="A502" s="143"/>
      <c r="B502" s="143"/>
      <c r="C502" s="143"/>
      <c r="D502" s="10"/>
      <c r="E502" s="207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</row>
    <row r="503" ht="12.75" customHeight="1">
      <c r="A503" s="143"/>
      <c r="B503" s="143"/>
      <c r="C503" s="143"/>
      <c r="D503" s="10"/>
      <c r="E503" s="207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</row>
    <row r="504" ht="12.75" customHeight="1">
      <c r="A504" s="143"/>
      <c r="B504" s="143"/>
      <c r="C504" s="143"/>
      <c r="D504" s="10"/>
      <c r="E504" s="207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</row>
    <row r="505" ht="12.75" customHeight="1">
      <c r="A505" s="143"/>
      <c r="B505" s="143"/>
      <c r="C505" s="143"/>
      <c r="D505" s="10"/>
      <c r="E505" s="207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</row>
    <row r="506" ht="12.75" customHeight="1">
      <c r="A506" s="143"/>
      <c r="B506" s="143"/>
      <c r="C506" s="143"/>
      <c r="D506" s="10"/>
      <c r="E506" s="207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</row>
    <row r="507" ht="12.75" customHeight="1">
      <c r="A507" s="143"/>
      <c r="B507" s="143"/>
      <c r="C507" s="143"/>
      <c r="D507" s="10"/>
      <c r="E507" s="207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</row>
    <row r="508" ht="12.75" customHeight="1">
      <c r="A508" s="143"/>
      <c r="B508" s="143"/>
      <c r="C508" s="143"/>
      <c r="D508" s="10"/>
      <c r="E508" s="207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</row>
    <row r="509" ht="12.75" customHeight="1">
      <c r="A509" s="143"/>
      <c r="B509" s="143"/>
      <c r="C509" s="143"/>
      <c r="D509" s="10"/>
      <c r="E509" s="207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</row>
    <row r="510" ht="12.75" customHeight="1">
      <c r="A510" s="143"/>
      <c r="B510" s="143"/>
      <c r="C510" s="143"/>
      <c r="D510" s="10"/>
      <c r="E510" s="207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</row>
    <row r="511" ht="12.75" customHeight="1">
      <c r="A511" s="143"/>
      <c r="B511" s="143"/>
      <c r="C511" s="143"/>
      <c r="D511" s="10"/>
      <c r="E511" s="207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</row>
    <row r="512" ht="12.75" customHeight="1">
      <c r="A512" s="143"/>
      <c r="B512" s="143"/>
      <c r="C512" s="143"/>
      <c r="D512" s="10"/>
      <c r="E512" s="207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</row>
    <row r="513" ht="12.75" customHeight="1">
      <c r="A513" s="143"/>
      <c r="B513" s="143"/>
      <c r="C513" s="143"/>
      <c r="D513" s="10"/>
      <c r="E513" s="207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</row>
    <row r="514" ht="12.75" customHeight="1">
      <c r="A514" s="143"/>
      <c r="B514" s="143"/>
      <c r="C514" s="143"/>
      <c r="D514" s="10"/>
      <c r="E514" s="207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</row>
    <row r="515" ht="12.75" customHeight="1">
      <c r="A515" s="143"/>
      <c r="B515" s="143"/>
      <c r="C515" s="143"/>
      <c r="D515" s="10"/>
      <c r="E515" s="207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</row>
    <row r="516" ht="12.75" customHeight="1">
      <c r="A516" s="143"/>
      <c r="B516" s="143"/>
      <c r="C516" s="143"/>
      <c r="D516" s="10"/>
      <c r="E516" s="207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</row>
    <row r="517" ht="12.75" customHeight="1">
      <c r="A517" s="143"/>
      <c r="B517" s="143"/>
      <c r="C517" s="143"/>
      <c r="D517" s="10"/>
      <c r="E517" s="207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</row>
    <row r="518" ht="12.75" customHeight="1">
      <c r="A518" s="143"/>
      <c r="B518" s="143"/>
      <c r="C518" s="143"/>
      <c r="D518" s="10"/>
      <c r="E518" s="207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</row>
    <row r="519" ht="12.75" customHeight="1">
      <c r="A519" s="143"/>
      <c r="B519" s="143"/>
      <c r="C519" s="143"/>
      <c r="D519" s="10"/>
      <c r="E519" s="207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</row>
    <row r="520" ht="12.75" customHeight="1">
      <c r="A520" s="143"/>
      <c r="B520" s="143"/>
      <c r="C520" s="143"/>
      <c r="D520" s="10"/>
      <c r="E520" s="207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</row>
    <row r="521" ht="12.75" customHeight="1">
      <c r="A521" s="143"/>
      <c r="B521" s="143"/>
      <c r="C521" s="143"/>
      <c r="D521" s="10"/>
      <c r="E521" s="207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</row>
    <row r="522" ht="12.75" customHeight="1">
      <c r="A522" s="143"/>
      <c r="B522" s="143"/>
      <c r="C522" s="143"/>
      <c r="D522" s="10"/>
      <c r="E522" s="207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</row>
    <row r="523" ht="12.75" customHeight="1">
      <c r="A523" s="143"/>
      <c r="B523" s="143"/>
      <c r="C523" s="143"/>
      <c r="D523" s="10"/>
      <c r="E523" s="207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</row>
    <row r="524" ht="12.75" customHeight="1">
      <c r="A524" s="143"/>
      <c r="B524" s="143"/>
      <c r="C524" s="143"/>
      <c r="D524" s="10"/>
      <c r="E524" s="207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</row>
    <row r="525" ht="12.75" customHeight="1">
      <c r="A525" s="143"/>
      <c r="B525" s="143"/>
      <c r="C525" s="143"/>
      <c r="D525" s="10"/>
      <c r="E525" s="207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</row>
    <row r="526" ht="12.75" customHeight="1">
      <c r="A526" s="143"/>
      <c r="B526" s="143"/>
      <c r="C526" s="143"/>
      <c r="D526" s="10"/>
      <c r="E526" s="207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</row>
    <row r="527" ht="12.75" customHeight="1">
      <c r="A527" s="143"/>
      <c r="B527" s="143"/>
      <c r="C527" s="143"/>
      <c r="D527" s="10"/>
      <c r="E527" s="207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</row>
    <row r="528" ht="12.75" customHeight="1">
      <c r="A528" s="143"/>
      <c r="B528" s="143"/>
      <c r="C528" s="143"/>
      <c r="D528" s="10"/>
      <c r="E528" s="207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</row>
    <row r="529" ht="12.75" customHeight="1">
      <c r="A529" s="143"/>
      <c r="B529" s="143"/>
      <c r="C529" s="143"/>
      <c r="D529" s="10"/>
      <c r="E529" s="207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</row>
    <row r="530" ht="12.75" customHeight="1">
      <c r="A530" s="143"/>
      <c r="B530" s="143"/>
      <c r="C530" s="143"/>
      <c r="D530" s="10"/>
      <c r="E530" s="207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</row>
    <row r="531" ht="12.75" customHeight="1">
      <c r="A531" s="143"/>
      <c r="B531" s="143"/>
      <c r="C531" s="143"/>
      <c r="D531" s="10"/>
      <c r="E531" s="207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</row>
    <row r="532" ht="12.75" customHeight="1">
      <c r="A532" s="143"/>
      <c r="B532" s="143"/>
      <c r="C532" s="143"/>
      <c r="D532" s="10"/>
      <c r="E532" s="207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</row>
    <row r="533" ht="12.75" customHeight="1">
      <c r="A533" s="143"/>
      <c r="B533" s="143"/>
      <c r="C533" s="143"/>
      <c r="D533" s="10"/>
      <c r="E533" s="207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</row>
    <row r="534" ht="12.75" customHeight="1">
      <c r="A534" s="143"/>
      <c r="B534" s="143"/>
      <c r="C534" s="143"/>
      <c r="D534" s="10"/>
      <c r="E534" s="207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</row>
    <row r="535" ht="12.75" customHeight="1">
      <c r="A535" s="143"/>
      <c r="B535" s="143"/>
      <c r="C535" s="143"/>
      <c r="D535" s="10"/>
      <c r="E535" s="207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</row>
    <row r="536" ht="12.75" customHeight="1">
      <c r="A536" s="143"/>
      <c r="B536" s="143"/>
      <c r="C536" s="143"/>
      <c r="D536" s="10"/>
      <c r="E536" s="207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</row>
    <row r="537" ht="12.75" customHeight="1">
      <c r="A537" s="143"/>
      <c r="B537" s="143"/>
      <c r="C537" s="143"/>
      <c r="D537" s="10"/>
      <c r="E537" s="207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</row>
    <row r="538" ht="12.75" customHeight="1">
      <c r="A538" s="143"/>
      <c r="B538" s="143"/>
      <c r="C538" s="143"/>
      <c r="D538" s="10"/>
      <c r="E538" s="207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</row>
    <row r="539" ht="12.75" customHeight="1">
      <c r="A539" s="143"/>
      <c r="B539" s="143"/>
      <c r="C539" s="143"/>
      <c r="D539" s="10"/>
      <c r="E539" s="207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</row>
    <row r="540" ht="12.75" customHeight="1">
      <c r="A540" s="143"/>
      <c r="B540" s="143"/>
      <c r="C540" s="143"/>
      <c r="D540" s="10"/>
      <c r="E540" s="207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</row>
    <row r="541" ht="12.75" customHeight="1">
      <c r="A541" s="143"/>
      <c r="B541" s="143"/>
      <c r="C541" s="143"/>
      <c r="D541" s="10"/>
      <c r="E541" s="207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</row>
    <row r="542" ht="12.75" customHeight="1">
      <c r="A542" s="143"/>
      <c r="B542" s="143"/>
      <c r="C542" s="143"/>
      <c r="D542" s="10"/>
      <c r="E542" s="207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</row>
    <row r="543" ht="12.75" customHeight="1">
      <c r="A543" s="143"/>
      <c r="B543" s="143"/>
      <c r="C543" s="143"/>
      <c r="D543" s="10"/>
      <c r="E543" s="207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</row>
    <row r="544" ht="12.75" customHeight="1">
      <c r="A544" s="143"/>
      <c r="B544" s="143"/>
      <c r="C544" s="143"/>
      <c r="D544" s="10"/>
      <c r="E544" s="207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</row>
    <row r="545" ht="12.75" customHeight="1">
      <c r="A545" s="143"/>
      <c r="B545" s="143"/>
      <c r="C545" s="143"/>
      <c r="D545" s="10"/>
      <c r="E545" s="207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</row>
    <row r="546" ht="12.75" customHeight="1">
      <c r="A546" s="143"/>
      <c r="B546" s="143"/>
      <c r="C546" s="143"/>
      <c r="D546" s="10"/>
      <c r="E546" s="207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</row>
    <row r="547" ht="12.75" customHeight="1">
      <c r="A547" s="143"/>
      <c r="B547" s="143"/>
      <c r="C547" s="143"/>
      <c r="D547" s="10"/>
      <c r="E547" s="207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</row>
    <row r="548" ht="12.75" customHeight="1">
      <c r="A548" s="143"/>
      <c r="B548" s="143"/>
      <c r="C548" s="143"/>
      <c r="D548" s="10"/>
      <c r="E548" s="207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</row>
    <row r="549" ht="12.75" customHeight="1">
      <c r="A549" s="143"/>
      <c r="B549" s="143"/>
      <c r="C549" s="143"/>
      <c r="D549" s="10"/>
      <c r="E549" s="207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</row>
    <row r="550" ht="12.75" customHeight="1">
      <c r="A550" s="143"/>
      <c r="B550" s="143"/>
      <c r="C550" s="143"/>
      <c r="D550" s="10"/>
      <c r="E550" s="207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</row>
    <row r="551" ht="12.75" customHeight="1">
      <c r="A551" s="143"/>
      <c r="B551" s="143"/>
      <c r="C551" s="143"/>
      <c r="D551" s="10"/>
      <c r="E551" s="207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</row>
    <row r="552" ht="12.75" customHeight="1">
      <c r="A552" s="143"/>
      <c r="B552" s="143"/>
      <c r="C552" s="143"/>
      <c r="D552" s="10"/>
      <c r="E552" s="207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</row>
    <row r="553" ht="12.75" customHeight="1">
      <c r="A553" s="143"/>
      <c r="B553" s="143"/>
      <c r="C553" s="143"/>
      <c r="D553" s="10"/>
      <c r="E553" s="207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</row>
    <row r="554" ht="12.75" customHeight="1">
      <c r="A554" s="143"/>
      <c r="B554" s="143"/>
      <c r="C554" s="143"/>
      <c r="D554" s="10"/>
      <c r="E554" s="207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</row>
    <row r="555" ht="12.75" customHeight="1">
      <c r="A555" s="143"/>
      <c r="B555" s="143"/>
      <c r="C555" s="143"/>
      <c r="D555" s="10"/>
      <c r="E555" s="207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</row>
    <row r="556" ht="12.75" customHeight="1">
      <c r="A556" s="143"/>
      <c r="B556" s="143"/>
      <c r="C556" s="143"/>
      <c r="D556" s="10"/>
      <c r="E556" s="207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</row>
    <row r="557" ht="12.75" customHeight="1">
      <c r="A557" s="143"/>
      <c r="B557" s="143"/>
      <c r="C557" s="143"/>
      <c r="D557" s="10"/>
      <c r="E557" s="207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</row>
    <row r="558" ht="12.75" customHeight="1">
      <c r="A558" s="143"/>
      <c r="B558" s="143"/>
      <c r="C558" s="143"/>
      <c r="D558" s="10"/>
      <c r="E558" s="207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</row>
    <row r="559" ht="12.75" customHeight="1">
      <c r="A559" s="143"/>
      <c r="B559" s="143"/>
      <c r="C559" s="143"/>
      <c r="D559" s="10"/>
      <c r="E559" s="207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</row>
    <row r="560" ht="12.75" customHeight="1">
      <c r="A560" s="143"/>
      <c r="B560" s="143"/>
      <c r="C560" s="143"/>
      <c r="D560" s="10"/>
      <c r="E560" s="207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</row>
    <row r="561" ht="12.75" customHeight="1">
      <c r="A561" s="143"/>
      <c r="B561" s="143"/>
      <c r="C561" s="143"/>
      <c r="D561" s="10"/>
      <c r="E561" s="207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</row>
    <row r="562" ht="12.75" customHeight="1">
      <c r="A562" s="143"/>
      <c r="B562" s="143"/>
      <c r="C562" s="143"/>
      <c r="D562" s="10"/>
      <c r="E562" s="207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</row>
    <row r="563" ht="12.75" customHeight="1">
      <c r="A563" s="143"/>
      <c r="B563" s="143"/>
      <c r="C563" s="143"/>
      <c r="D563" s="10"/>
      <c r="E563" s="207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</row>
    <row r="564" ht="12.75" customHeight="1">
      <c r="A564" s="143"/>
      <c r="B564" s="143"/>
      <c r="C564" s="143"/>
      <c r="D564" s="10"/>
      <c r="E564" s="207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</row>
    <row r="565" ht="12.75" customHeight="1">
      <c r="A565" s="143"/>
      <c r="B565" s="143"/>
      <c r="C565" s="143"/>
      <c r="D565" s="10"/>
      <c r="E565" s="207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</row>
    <row r="566" ht="12.75" customHeight="1">
      <c r="A566" s="143"/>
      <c r="B566" s="143"/>
      <c r="C566" s="143"/>
      <c r="D566" s="10"/>
      <c r="E566" s="207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</row>
    <row r="567" ht="12.75" customHeight="1">
      <c r="A567" s="143"/>
      <c r="B567" s="143"/>
      <c r="C567" s="143"/>
      <c r="D567" s="10"/>
      <c r="E567" s="207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</row>
    <row r="568" ht="12.75" customHeight="1">
      <c r="A568" s="143"/>
      <c r="B568" s="143"/>
      <c r="C568" s="143"/>
      <c r="D568" s="10"/>
      <c r="E568" s="207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</row>
    <row r="569" ht="12.75" customHeight="1">
      <c r="A569" s="143"/>
      <c r="B569" s="143"/>
      <c r="C569" s="143"/>
      <c r="D569" s="10"/>
      <c r="E569" s="207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</row>
    <row r="570" ht="12.75" customHeight="1">
      <c r="A570" s="143"/>
      <c r="B570" s="143"/>
      <c r="C570" s="143"/>
      <c r="D570" s="10"/>
      <c r="E570" s="207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</row>
    <row r="571" ht="12.75" customHeight="1">
      <c r="A571" s="143"/>
      <c r="B571" s="143"/>
      <c r="C571" s="143"/>
      <c r="D571" s="10"/>
      <c r="E571" s="207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</row>
    <row r="572" ht="12.75" customHeight="1">
      <c r="A572" s="143"/>
      <c r="B572" s="143"/>
      <c r="C572" s="143"/>
      <c r="D572" s="10"/>
      <c r="E572" s="207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</row>
    <row r="573" ht="12.75" customHeight="1">
      <c r="A573" s="143"/>
      <c r="B573" s="143"/>
      <c r="C573" s="143"/>
      <c r="D573" s="10"/>
      <c r="E573" s="207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</row>
    <row r="574" ht="12.75" customHeight="1">
      <c r="A574" s="143"/>
      <c r="B574" s="143"/>
      <c r="C574" s="143"/>
      <c r="D574" s="10"/>
      <c r="E574" s="207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</row>
    <row r="575" ht="12.75" customHeight="1">
      <c r="A575" s="143"/>
      <c r="B575" s="143"/>
      <c r="C575" s="143"/>
      <c r="D575" s="10"/>
      <c r="E575" s="207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</row>
    <row r="576" ht="12.75" customHeight="1">
      <c r="A576" s="143"/>
      <c r="B576" s="143"/>
      <c r="C576" s="143"/>
      <c r="D576" s="10"/>
      <c r="E576" s="207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</row>
    <row r="577" ht="12.75" customHeight="1">
      <c r="A577" s="143"/>
      <c r="B577" s="143"/>
      <c r="C577" s="143"/>
      <c r="D577" s="10"/>
      <c r="E577" s="207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</row>
    <row r="578" ht="12.75" customHeight="1">
      <c r="A578" s="143"/>
      <c r="B578" s="143"/>
      <c r="C578" s="143"/>
      <c r="D578" s="10"/>
      <c r="E578" s="207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</row>
    <row r="579" ht="12.75" customHeight="1">
      <c r="A579" s="143"/>
      <c r="B579" s="143"/>
      <c r="C579" s="143"/>
      <c r="D579" s="10"/>
      <c r="E579" s="207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</row>
    <row r="580" ht="12.75" customHeight="1">
      <c r="A580" s="143"/>
      <c r="B580" s="143"/>
      <c r="C580" s="143"/>
      <c r="D580" s="10"/>
      <c r="E580" s="207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</row>
    <row r="581" ht="12.75" customHeight="1">
      <c r="A581" s="143"/>
      <c r="B581" s="143"/>
      <c r="C581" s="143"/>
      <c r="D581" s="10"/>
      <c r="E581" s="207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</row>
    <row r="582" ht="12.75" customHeight="1">
      <c r="A582" s="143"/>
      <c r="B582" s="143"/>
      <c r="C582" s="143"/>
      <c r="D582" s="10"/>
      <c r="E582" s="207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</row>
    <row r="583" ht="12.75" customHeight="1">
      <c r="A583" s="143"/>
      <c r="B583" s="143"/>
      <c r="C583" s="143"/>
      <c r="D583" s="10"/>
      <c r="E583" s="207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</row>
    <row r="584" ht="12.75" customHeight="1">
      <c r="A584" s="143"/>
      <c r="B584" s="143"/>
      <c r="C584" s="143"/>
      <c r="D584" s="10"/>
      <c r="E584" s="207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</row>
    <row r="585" ht="12.75" customHeight="1">
      <c r="A585" s="143"/>
      <c r="B585" s="143"/>
      <c r="C585" s="143"/>
      <c r="D585" s="10"/>
      <c r="E585" s="207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</row>
    <row r="586" ht="12.75" customHeight="1">
      <c r="A586" s="143"/>
      <c r="B586" s="143"/>
      <c r="C586" s="143"/>
      <c r="D586" s="10"/>
      <c r="E586" s="207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</row>
    <row r="587" ht="12.75" customHeight="1">
      <c r="A587" s="143"/>
      <c r="B587" s="143"/>
      <c r="C587" s="143"/>
      <c r="D587" s="10"/>
      <c r="E587" s="207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</row>
    <row r="588" ht="12.75" customHeight="1">
      <c r="A588" s="143"/>
      <c r="B588" s="143"/>
      <c r="C588" s="143"/>
      <c r="D588" s="10"/>
      <c r="E588" s="207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</row>
    <row r="589" ht="12.75" customHeight="1">
      <c r="A589" s="143"/>
      <c r="B589" s="143"/>
      <c r="C589" s="143"/>
      <c r="D589" s="10"/>
      <c r="E589" s="207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</row>
    <row r="590" ht="12.75" customHeight="1">
      <c r="A590" s="143"/>
      <c r="B590" s="143"/>
      <c r="C590" s="143"/>
      <c r="D590" s="10"/>
      <c r="E590" s="207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</row>
    <row r="591" ht="12.75" customHeight="1">
      <c r="A591" s="143"/>
      <c r="B591" s="143"/>
      <c r="C591" s="143"/>
      <c r="D591" s="10"/>
      <c r="E591" s="207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</row>
    <row r="592" ht="12.75" customHeight="1">
      <c r="A592" s="143"/>
      <c r="B592" s="143"/>
      <c r="C592" s="143"/>
      <c r="D592" s="10"/>
      <c r="E592" s="207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</row>
    <row r="593" ht="12.75" customHeight="1">
      <c r="A593" s="143"/>
      <c r="B593" s="143"/>
      <c r="C593" s="143"/>
      <c r="D593" s="10"/>
      <c r="E593" s="207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</row>
    <row r="594" ht="12.75" customHeight="1">
      <c r="A594" s="143"/>
      <c r="B594" s="143"/>
      <c r="C594" s="143"/>
      <c r="D594" s="10"/>
      <c r="E594" s="207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</row>
    <row r="595" ht="12.75" customHeight="1">
      <c r="A595" s="143"/>
      <c r="B595" s="143"/>
      <c r="C595" s="143"/>
      <c r="D595" s="10"/>
      <c r="E595" s="207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</row>
    <row r="596" ht="12.75" customHeight="1">
      <c r="A596" s="143"/>
      <c r="B596" s="143"/>
      <c r="C596" s="143"/>
      <c r="D596" s="10"/>
      <c r="E596" s="207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</row>
    <row r="597" ht="12.75" customHeight="1">
      <c r="A597" s="143"/>
      <c r="B597" s="143"/>
      <c r="C597" s="143"/>
      <c r="D597" s="10"/>
      <c r="E597" s="207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</row>
    <row r="598" ht="12.75" customHeight="1">
      <c r="A598" s="143"/>
      <c r="B598" s="143"/>
      <c r="C598" s="143"/>
      <c r="D598" s="10"/>
      <c r="E598" s="207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</row>
    <row r="599" ht="12.75" customHeight="1">
      <c r="A599" s="143"/>
      <c r="B599" s="143"/>
      <c r="C599" s="143"/>
      <c r="D599" s="10"/>
      <c r="E599" s="207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</row>
    <row r="600" ht="12.75" customHeight="1">
      <c r="A600" s="143"/>
      <c r="B600" s="143"/>
      <c r="C600" s="143"/>
      <c r="D600" s="10"/>
      <c r="E600" s="207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</row>
    <row r="601" ht="12.75" customHeight="1">
      <c r="A601" s="143"/>
      <c r="B601" s="143"/>
      <c r="C601" s="143"/>
      <c r="D601" s="10"/>
      <c r="E601" s="207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</row>
    <row r="602" ht="12.75" customHeight="1">
      <c r="A602" s="143"/>
      <c r="B602" s="143"/>
      <c r="C602" s="143"/>
      <c r="D602" s="10"/>
      <c r="E602" s="207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</row>
    <row r="603" ht="12.75" customHeight="1">
      <c r="A603" s="143"/>
      <c r="B603" s="143"/>
      <c r="C603" s="143"/>
      <c r="D603" s="10"/>
      <c r="E603" s="207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</row>
    <row r="604" ht="12.75" customHeight="1">
      <c r="A604" s="143"/>
      <c r="B604" s="143"/>
      <c r="C604" s="143"/>
      <c r="D604" s="10"/>
      <c r="E604" s="207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</row>
    <row r="605" ht="12.75" customHeight="1">
      <c r="A605" s="143"/>
      <c r="B605" s="143"/>
      <c r="C605" s="143"/>
      <c r="D605" s="10"/>
      <c r="E605" s="207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</row>
    <row r="606" ht="12.75" customHeight="1">
      <c r="A606" s="143"/>
      <c r="B606" s="143"/>
      <c r="C606" s="143"/>
      <c r="D606" s="10"/>
      <c r="E606" s="207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</row>
    <row r="607" ht="12.75" customHeight="1">
      <c r="A607" s="143"/>
      <c r="B607" s="143"/>
      <c r="C607" s="143"/>
      <c r="D607" s="10"/>
      <c r="E607" s="207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</row>
    <row r="608" ht="12.75" customHeight="1">
      <c r="A608" s="143"/>
      <c r="B608" s="143"/>
      <c r="C608" s="143"/>
      <c r="D608" s="10"/>
      <c r="E608" s="207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</row>
    <row r="609" ht="12.75" customHeight="1">
      <c r="A609" s="143"/>
      <c r="B609" s="143"/>
      <c r="C609" s="143"/>
      <c r="D609" s="10"/>
      <c r="E609" s="207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</row>
    <row r="610" ht="12.75" customHeight="1">
      <c r="A610" s="143"/>
      <c r="B610" s="143"/>
      <c r="C610" s="143"/>
      <c r="D610" s="10"/>
      <c r="E610" s="207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</row>
    <row r="611" ht="12.75" customHeight="1">
      <c r="A611" s="143"/>
      <c r="B611" s="143"/>
      <c r="C611" s="143"/>
      <c r="D611" s="10"/>
      <c r="E611" s="207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</row>
    <row r="612" ht="12.75" customHeight="1">
      <c r="A612" s="143"/>
      <c r="B612" s="143"/>
      <c r="C612" s="143"/>
      <c r="D612" s="10"/>
      <c r="E612" s="207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</row>
    <row r="613" ht="12.75" customHeight="1">
      <c r="A613" s="143"/>
      <c r="B613" s="143"/>
      <c r="C613" s="143"/>
      <c r="D613" s="10"/>
      <c r="E613" s="207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</row>
    <row r="614" ht="12.75" customHeight="1">
      <c r="A614" s="143"/>
      <c r="B614" s="143"/>
      <c r="C614" s="143"/>
      <c r="D614" s="10"/>
      <c r="E614" s="207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</row>
    <row r="615" ht="12.75" customHeight="1">
      <c r="A615" s="143"/>
      <c r="B615" s="143"/>
      <c r="C615" s="143"/>
      <c r="D615" s="10"/>
      <c r="E615" s="207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</row>
    <row r="616" ht="12.75" customHeight="1">
      <c r="A616" s="143"/>
      <c r="B616" s="143"/>
      <c r="C616" s="143"/>
      <c r="D616" s="10"/>
      <c r="E616" s="207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</row>
    <row r="617" ht="12.75" customHeight="1">
      <c r="A617" s="143"/>
      <c r="B617" s="143"/>
      <c r="C617" s="143"/>
      <c r="D617" s="10"/>
      <c r="E617" s="207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</row>
    <row r="618" ht="12.75" customHeight="1">
      <c r="A618" s="143"/>
      <c r="B618" s="143"/>
      <c r="C618" s="143"/>
      <c r="D618" s="10"/>
      <c r="E618" s="207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</row>
    <row r="619" ht="12.75" customHeight="1">
      <c r="A619" s="143"/>
      <c r="B619" s="143"/>
      <c r="C619" s="143"/>
      <c r="D619" s="10"/>
      <c r="E619" s="207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</row>
    <row r="620" ht="12.75" customHeight="1">
      <c r="A620" s="143"/>
      <c r="B620" s="143"/>
      <c r="C620" s="143"/>
      <c r="D620" s="10"/>
      <c r="E620" s="207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</row>
    <row r="621" ht="12.75" customHeight="1">
      <c r="A621" s="143"/>
      <c r="B621" s="143"/>
      <c r="C621" s="143"/>
      <c r="D621" s="10"/>
      <c r="E621" s="207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</row>
    <row r="622" ht="12.75" customHeight="1">
      <c r="A622" s="143"/>
      <c r="B622" s="143"/>
      <c r="C622" s="143"/>
      <c r="D622" s="10"/>
      <c r="E622" s="207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</row>
    <row r="623" ht="12.75" customHeight="1">
      <c r="A623" s="143"/>
      <c r="B623" s="143"/>
      <c r="C623" s="143"/>
      <c r="D623" s="10"/>
      <c r="E623" s="207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</row>
    <row r="624" ht="12.75" customHeight="1">
      <c r="A624" s="143"/>
      <c r="B624" s="143"/>
      <c r="C624" s="143"/>
      <c r="D624" s="10"/>
      <c r="E624" s="207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</row>
    <row r="625" ht="12.75" customHeight="1">
      <c r="A625" s="143"/>
      <c r="B625" s="143"/>
      <c r="C625" s="143"/>
      <c r="D625" s="10"/>
      <c r="E625" s="207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</row>
    <row r="626" ht="12.75" customHeight="1">
      <c r="A626" s="143"/>
      <c r="B626" s="143"/>
      <c r="C626" s="143"/>
      <c r="D626" s="10"/>
      <c r="E626" s="207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</row>
    <row r="627" ht="12.75" customHeight="1">
      <c r="A627" s="143"/>
      <c r="B627" s="143"/>
      <c r="C627" s="143"/>
      <c r="D627" s="10"/>
      <c r="E627" s="207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</row>
    <row r="628" ht="12.75" customHeight="1">
      <c r="A628" s="143"/>
      <c r="B628" s="143"/>
      <c r="C628" s="143"/>
      <c r="D628" s="10"/>
      <c r="E628" s="207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</row>
    <row r="629" ht="12.75" customHeight="1">
      <c r="A629" s="143"/>
      <c r="B629" s="143"/>
      <c r="C629" s="143"/>
      <c r="D629" s="10"/>
      <c r="E629" s="207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</row>
    <row r="630" ht="12.75" customHeight="1">
      <c r="A630" s="143"/>
      <c r="B630" s="143"/>
      <c r="C630" s="143"/>
      <c r="D630" s="10"/>
      <c r="E630" s="207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</row>
    <row r="631" ht="12.75" customHeight="1">
      <c r="A631" s="143"/>
      <c r="B631" s="143"/>
      <c r="C631" s="143"/>
      <c r="D631" s="10"/>
      <c r="E631" s="207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</row>
    <row r="632" ht="12.75" customHeight="1">
      <c r="A632" s="143"/>
      <c r="B632" s="143"/>
      <c r="C632" s="143"/>
      <c r="D632" s="10"/>
      <c r="E632" s="207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</row>
    <row r="633" ht="12.75" customHeight="1">
      <c r="A633" s="143"/>
      <c r="B633" s="143"/>
      <c r="C633" s="143"/>
      <c r="D633" s="10"/>
      <c r="E633" s="207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</row>
    <row r="634" ht="12.75" customHeight="1">
      <c r="A634" s="143"/>
      <c r="B634" s="143"/>
      <c r="C634" s="143"/>
      <c r="D634" s="10"/>
      <c r="E634" s="207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</row>
    <row r="635" ht="12.75" customHeight="1">
      <c r="A635" s="143"/>
      <c r="B635" s="143"/>
      <c r="C635" s="143"/>
      <c r="D635" s="10"/>
      <c r="E635" s="207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</row>
    <row r="636" ht="12.75" customHeight="1">
      <c r="A636" s="143"/>
      <c r="B636" s="143"/>
      <c r="C636" s="143"/>
      <c r="D636" s="10"/>
      <c r="E636" s="207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</row>
    <row r="637" ht="12.75" customHeight="1">
      <c r="A637" s="143"/>
      <c r="B637" s="143"/>
      <c r="C637" s="143"/>
      <c r="D637" s="10"/>
      <c r="E637" s="207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</row>
    <row r="638" ht="12.75" customHeight="1">
      <c r="A638" s="143"/>
      <c r="B638" s="143"/>
      <c r="C638" s="143"/>
      <c r="D638" s="10"/>
      <c r="E638" s="207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</row>
    <row r="639" ht="12.75" customHeight="1">
      <c r="A639" s="143"/>
      <c r="B639" s="143"/>
      <c r="C639" s="143"/>
      <c r="D639" s="10"/>
      <c r="E639" s="207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</row>
    <row r="640" ht="12.75" customHeight="1">
      <c r="A640" s="143"/>
      <c r="B640" s="143"/>
      <c r="C640" s="143"/>
      <c r="D640" s="10"/>
      <c r="E640" s="207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</row>
    <row r="641" ht="12.75" customHeight="1">
      <c r="A641" s="143"/>
      <c r="B641" s="143"/>
      <c r="C641" s="143"/>
      <c r="D641" s="10"/>
      <c r="E641" s="207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</row>
    <row r="642" ht="12.75" customHeight="1">
      <c r="A642" s="143"/>
      <c r="B642" s="143"/>
      <c r="C642" s="143"/>
      <c r="D642" s="10"/>
      <c r="E642" s="207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</row>
    <row r="643" ht="12.75" customHeight="1">
      <c r="A643" s="143"/>
      <c r="B643" s="143"/>
      <c r="C643" s="143"/>
      <c r="D643" s="10"/>
      <c r="E643" s="207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</row>
    <row r="644" ht="12.75" customHeight="1">
      <c r="A644" s="143"/>
      <c r="B644" s="143"/>
      <c r="C644" s="143"/>
      <c r="D644" s="10"/>
      <c r="E644" s="207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</row>
    <row r="645" ht="12.75" customHeight="1">
      <c r="A645" s="143"/>
      <c r="B645" s="143"/>
      <c r="C645" s="143"/>
      <c r="D645" s="10"/>
      <c r="E645" s="207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</row>
    <row r="646" ht="12.75" customHeight="1">
      <c r="A646" s="143"/>
      <c r="B646" s="143"/>
      <c r="C646" s="143"/>
      <c r="D646" s="10"/>
      <c r="E646" s="207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</row>
    <row r="647" ht="12.75" customHeight="1">
      <c r="A647" s="143"/>
      <c r="B647" s="143"/>
      <c r="C647" s="143"/>
      <c r="D647" s="10"/>
      <c r="E647" s="207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</row>
    <row r="648" ht="12.75" customHeight="1">
      <c r="A648" s="143"/>
      <c r="B648" s="143"/>
      <c r="C648" s="143"/>
      <c r="D648" s="10"/>
      <c r="E648" s="207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</row>
    <row r="649" ht="12.75" customHeight="1">
      <c r="A649" s="143"/>
      <c r="B649" s="143"/>
      <c r="C649" s="143"/>
      <c r="D649" s="10"/>
      <c r="E649" s="207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</row>
    <row r="650" ht="12.75" customHeight="1">
      <c r="A650" s="143"/>
      <c r="B650" s="143"/>
      <c r="C650" s="143"/>
      <c r="D650" s="10"/>
      <c r="E650" s="207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</row>
    <row r="651" ht="12.75" customHeight="1">
      <c r="A651" s="143"/>
      <c r="B651" s="143"/>
      <c r="C651" s="143"/>
      <c r="D651" s="10"/>
      <c r="E651" s="207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</row>
    <row r="652" ht="12.75" customHeight="1">
      <c r="A652" s="143"/>
      <c r="B652" s="143"/>
      <c r="C652" s="143"/>
      <c r="D652" s="10"/>
      <c r="E652" s="207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</row>
    <row r="653" ht="12.75" customHeight="1">
      <c r="A653" s="143"/>
      <c r="B653" s="143"/>
      <c r="C653" s="143"/>
      <c r="D653" s="10"/>
      <c r="E653" s="207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</row>
    <row r="654" ht="12.75" customHeight="1">
      <c r="A654" s="143"/>
      <c r="B654" s="143"/>
      <c r="C654" s="143"/>
      <c r="D654" s="10"/>
      <c r="E654" s="207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</row>
    <row r="655" ht="12.75" customHeight="1">
      <c r="A655" s="143"/>
      <c r="B655" s="143"/>
      <c r="C655" s="143"/>
      <c r="D655" s="10"/>
      <c r="E655" s="207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</row>
    <row r="656" ht="12.75" customHeight="1">
      <c r="A656" s="143"/>
      <c r="B656" s="143"/>
      <c r="C656" s="143"/>
      <c r="D656" s="10"/>
      <c r="E656" s="207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</row>
    <row r="657" ht="12.75" customHeight="1">
      <c r="A657" s="143"/>
      <c r="B657" s="143"/>
      <c r="C657" s="143"/>
      <c r="D657" s="10"/>
      <c r="E657" s="207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</row>
    <row r="658" ht="12.75" customHeight="1">
      <c r="A658" s="143"/>
      <c r="B658" s="143"/>
      <c r="C658" s="143"/>
      <c r="D658" s="10"/>
      <c r="E658" s="207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</row>
    <row r="659" ht="12.75" customHeight="1">
      <c r="A659" s="143"/>
      <c r="B659" s="143"/>
      <c r="C659" s="143"/>
      <c r="D659" s="10"/>
      <c r="E659" s="207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</row>
    <row r="660" ht="12.75" customHeight="1">
      <c r="A660" s="143"/>
      <c r="B660" s="143"/>
      <c r="C660" s="143"/>
      <c r="D660" s="10"/>
      <c r="E660" s="207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</row>
    <row r="661" ht="12.75" customHeight="1">
      <c r="A661" s="143"/>
      <c r="B661" s="143"/>
      <c r="C661" s="143"/>
      <c r="D661" s="10"/>
      <c r="E661" s="207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</row>
    <row r="662" ht="12.75" customHeight="1">
      <c r="A662" s="143"/>
      <c r="B662" s="143"/>
      <c r="C662" s="143"/>
      <c r="D662" s="10"/>
      <c r="E662" s="207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</row>
    <row r="663" ht="12.75" customHeight="1">
      <c r="A663" s="143"/>
      <c r="B663" s="143"/>
      <c r="C663" s="143"/>
      <c r="D663" s="10"/>
      <c r="E663" s="207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</row>
    <row r="664" ht="12.75" customHeight="1">
      <c r="A664" s="143"/>
      <c r="B664" s="143"/>
      <c r="C664" s="143"/>
      <c r="D664" s="10"/>
      <c r="E664" s="207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</row>
    <row r="665" ht="12.75" customHeight="1">
      <c r="A665" s="143"/>
      <c r="B665" s="143"/>
      <c r="C665" s="143"/>
      <c r="D665" s="10"/>
      <c r="E665" s="207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</row>
    <row r="666" ht="12.75" customHeight="1">
      <c r="A666" s="143"/>
      <c r="B666" s="143"/>
      <c r="C666" s="143"/>
      <c r="D666" s="10"/>
      <c r="E666" s="207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</row>
    <row r="667" ht="12.75" customHeight="1">
      <c r="A667" s="143"/>
      <c r="B667" s="143"/>
      <c r="C667" s="143"/>
      <c r="D667" s="10"/>
      <c r="E667" s="207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</row>
    <row r="668" ht="12.75" customHeight="1">
      <c r="A668" s="143"/>
      <c r="B668" s="143"/>
      <c r="C668" s="143"/>
      <c r="D668" s="10"/>
      <c r="E668" s="207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</row>
    <row r="669" ht="12.75" customHeight="1">
      <c r="A669" s="143"/>
      <c r="B669" s="143"/>
      <c r="C669" s="143"/>
      <c r="D669" s="10"/>
      <c r="E669" s="207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</row>
    <row r="670" ht="12.75" customHeight="1">
      <c r="A670" s="143"/>
      <c r="B670" s="143"/>
      <c r="C670" s="143"/>
      <c r="D670" s="10"/>
      <c r="E670" s="207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</row>
    <row r="671" ht="12.75" customHeight="1">
      <c r="A671" s="143"/>
      <c r="B671" s="143"/>
      <c r="C671" s="143"/>
      <c r="D671" s="10"/>
      <c r="E671" s="207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</row>
    <row r="672" ht="12.75" customHeight="1">
      <c r="A672" s="143"/>
      <c r="B672" s="143"/>
      <c r="C672" s="143"/>
      <c r="D672" s="10"/>
      <c r="E672" s="207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</row>
    <row r="673" ht="12.75" customHeight="1">
      <c r="A673" s="143"/>
      <c r="B673" s="143"/>
      <c r="C673" s="143"/>
      <c r="D673" s="10"/>
      <c r="E673" s="207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</row>
    <row r="674" ht="12.75" customHeight="1">
      <c r="A674" s="143"/>
      <c r="B674" s="143"/>
      <c r="C674" s="143"/>
      <c r="D674" s="10"/>
      <c r="E674" s="207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</row>
    <row r="675" ht="12.75" customHeight="1">
      <c r="A675" s="143"/>
      <c r="B675" s="143"/>
      <c r="C675" s="143"/>
      <c r="D675" s="10"/>
      <c r="E675" s="207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</row>
    <row r="676" ht="12.75" customHeight="1">
      <c r="A676" s="143"/>
      <c r="B676" s="143"/>
      <c r="C676" s="143"/>
      <c r="D676" s="10"/>
      <c r="E676" s="207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</row>
    <row r="677" ht="12.75" customHeight="1">
      <c r="A677" s="143"/>
      <c r="B677" s="143"/>
      <c r="C677" s="143"/>
      <c r="D677" s="10"/>
      <c r="E677" s="207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</row>
    <row r="678" ht="12.75" customHeight="1">
      <c r="A678" s="143"/>
      <c r="B678" s="143"/>
      <c r="C678" s="143"/>
      <c r="D678" s="10"/>
      <c r="E678" s="207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</row>
    <row r="679" ht="12.75" customHeight="1">
      <c r="A679" s="143"/>
      <c r="B679" s="143"/>
      <c r="C679" s="143"/>
      <c r="D679" s="10"/>
      <c r="E679" s="207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</row>
    <row r="680" ht="12.75" customHeight="1">
      <c r="A680" s="143"/>
      <c r="B680" s="143"/>
      <c r="C680" s="143"/>
      <c r="D680" s="10"/>
      <c r="E680" s="207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</row>
    <row r="681" ht="12.75" customHeight="1">
      <c r="A681" s="143"/>
      <c r="B681" s="143"/>
      <c r="C681" s="143"/>
      <c r="D681" s="10"/>
      <c r="E681" s="207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</row>
    <row r="682" ht="12.75" customHeight="1">
      <c r="A682" s="143"/>
      <c r="B682" s="143"/>
      <c r="C682" s="143"/>
      <c r="D682" s="10"/>
      <c r="E682" s="207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</row>
    <row r="683" ht="12.75" customHeight="1">
      <c r="A683" s="143"/>
      <c r="B683" s="143"/>
      <c r="C683" s="143"/>
      <c r="D683" s="10"/>
      <c r="E683" s="207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</row>
    <row r="684" ht="12.75" customHeight="1">
      <c r="A684" s="143"/>
      <c r="B684" s="143"/>
      <c r="C684" s="143"/>
      <c r="D684" s="10"/>
      <c r="E684" s="207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</row>
    <row r="685" ht="12.75" customHeight="1">
      <c r="A685" s="143"/>
      <c r="B685" s="143"/>
      <c r="C685" s="143"/>
      <c r="D685" s="10"/>
      <c r="E685" s="207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</row>
    <row r="686" ht="12.75" customHeight="1">
      <c r="A686" s="143"/>
      <c r="B686" s="143"/>
      <c r="C686" s="143"/>
      <c r="D686" s="10"/>
      <c r="E686" s="207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</row>
    <row r="687" ht="12.75" customHeight="1">
      <c r="A687" s="143"/>
      <c r="B687" s="143"/>
      <c r="C687" s="143"/>
      <c r="D687" s="10"/>
      <c r="E687" s="207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</row>
    <row r="688" ht="12.75" customHeight="1">
      <c r="A688" s="143"/>
      <c r="B688" s="143"/>
      <c r="C688" s="143"/>
      <c r="D688" s="10"/>
      <c r="E688" s="207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</row>
    <row r="689" ht="12.75" customHeight="1">
      <c r="A689" s="143"/>
      <c r="B689" s="143"/>
      <c r="C689" s="143"/>
      <c r="D689" s="10"/>
      <c r="E689" s="207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</row>
    <row r="690" ht="12.75" customHeight="1">
      <c r="A690" s="143"/>
      <c r="B690" s="143"/>
      <c r="C690" s="143"/>
      <c r="D690" s="10"/>
      <c r="E690" s="207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</row>
    <row r="691" ht="12.75" customHeight="1">
      <c r="A691" s="143"/>
      <c r="B691" s="143"/>
      <c r="C691" s="143"/>
      <c r="D691" s="10"/>
      <c r="E691" s="207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</row>
    <row r="692" ht="12.75" customHeight="1">
      <c r="A692" s="143"/>
      <c r="B692" s="143"/>
      <c r="C692" s="143"/>
      <c r="D692" s="10"/>
      <c r="E692" s="207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</row>
    <row r="693" ht="12.75" customHeight="1">
      <c r="A693" s="143"/>
      <c r="B693" s="143"/>
      <c r="C693" s="143"/>
      <c r="D693" s="10"/>
      <c r="E693" s="207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</row>
    <row r="694" ht="12.75" customHeight="1">
      <c r="A694" s="143"/>
      <c r="B694" s="143"/>
      <c r="C694" s="143"/>
      <c r="D694" s="10"/>
      <c r="E694" s="207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</row>
    <row r="695" ht="12.75" customHeight="1">
      <c r="A695" s="143"/>
      <c r="B695" s="143"/>
      <c r="C695" s="143"/>
      <c r="D695" s="10"/>
      <c r="E695" s="207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</row>
    <row r="696" ht="12.75" customHeight="1">
      <c r="A696" s="143"/>
      <c r="B696" s="143"/>
      <c r="C696" s="143"/>
      <c r="D696" s="10"/>
      <c r="E696" s="207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</row>
    <row r="697" ht="12.75" customHeight="1">
      <c r="A697" s="143"/>
      <c r="B697" s="143"/>
      <c r="C697" s="143"/>
      <c r="D697" s="10"/>
      <c r="E697" s="207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</row>
    <row r="698" ht="12.75" customHeight="1">
      <c r="A698" s="143"/>
      <c r="B698" s="143"/>
      <c r="C698" s="143"/>
      <c r="D698" s="10"/>
      <c r="E698" s="207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</row>
    <row r="699" ht="12.75" customHeight="1">
      <c r="A699" s="143"/>
      <c r="B699" s="143"/>
      <c r="C699" s="143"/>
      <c r="D699" s="10"/>
      <c r="E699" s="207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</row>
    <row r="700" ht="12.75" customHeight="1">
      <c r="A700" s="143"/>
      <c r="B700" s="143"/>
      <c r="C700" s="143"/>
      <c r="D700" s="10"/>
      <c r="E700" s="207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</row>
    <row r="701" ht="12.75" customHeight="1">
      <c r="A701" s="143"/>
      <c r="B701" s="143"/>
      <c r="C701" s="143"/>
      <c r="D701" s="10"/>
      <c r="E701" s="207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</row>
    <row r="702" ht="12.75" customHeight="1">
      <c r="A702" s="143"/>
      <c r="B702" s="143"/>
      <c r="C702" s="143"/>
      <c r="D702" s="10"/>
      <c r="E702" s="207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</row>
    <row r="703" ht="12.75" customHeight="1">
      <c r="A703" s="143"/>
      <c r="B703" s="143"/>
      <c r="C703" s="143"/>
      <c r="D703" s="10"/>
      <c r="E703" s="207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</row>
    <row r="704" ht="12.75" customHeight="1">
      <c r="A704" s="143"/>
      <c r="B704" s="143"/>
      <c r="C704" s="143"/>
      <c r="D704" s="10"/>
      <c r="E704" s="207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</row>
    <row r="705" ht="12.75" customHeight="1">
      <c r="A705" s="143"/>
      <c r="B705" s="143"/>
      <c r="C705" s="143"/>
      <c r="D705" s="10"/>
      <c r="E705" s="207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</row>
    <row r="706" ht="12.75" customHeight="1">
      <c r="A706" s="143"/>
      <c r="B706" s="143"/>
      <c r="C706" s="143"/>
      <c r="D706" s="10"/>
      <c r="E706" s="207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</row>
    <row r="707" ht="12.75" customHeight="1">
      <c r="A707" s="143"/>
      <c r="B707" s="143"/>
      <c r="C707" s="143"/>
      <c r="D707" s="10"/>
      <c r="E707" s="207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</row>
    <row r="708" ht="12.75" customHeight="1">
      <c r="A708" s="143"/>
      <c r="B708" s="143"/>
      <c r="C708" s="143"/>
      <c r="D708" s="10"/>
      <c r="E708" s="207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</row>
    <row r="709" ht="12.75" customHeight="1">
      <c r="A709" s="143"/>
      <c r="B709" s="143"/>
      <c r="C709" s="143"/>
      <c r="D709" s="10"/>
      <c r="E709" s="207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</row>
    <row r="710" ht="12.75" customHeight="1">
      <c r="A710" s="143"/>
      <c r="B710" s="143"/>
      <c r="C710" s="143"/>
      <c r="D710" s="10"/>
      <c r="E710" s="207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</row>
    <row r="711" ht="12.75" customHeight="1">
      <c r="A711" s="143"/>
      <c r="B711" s="143"/>
      <c r="C711" s="143"/>
      <c r="D711" s="10"/>
      <c r="E711" s="207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</row>
    <row r="712" ht="12.75" customHeight="1">
      <c r="A712" s="143"/>
      <c r="B712" s="143"/>
      <c r="C712" s="143"/>
      <c r="D712" s="10"/>
      <c r="E712" s="207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</row>
    <row r="713" ht="12.75" customHeight="1">
      <c r="A713" s="143"/>
      <c r="B713" s="143"/>
      <c r="C713" s="143"/>
      <c r="D713" s="10"/>
      <c r="E713" s="207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</row>
    <row r="714" ht="12.75" customHeight="1">
      <c r="A714" s="143"/>
      <c r="B714" s="143"/>
      <c r="C714" s="143"/>
      <c r="D714" s="10"/>
      <c r="E714" s="207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</row>
    <row r="715" ht="12.75" customHeight="1">
      <c r="A715" s="143"/>
      <c r="B715" s="143"/>
      <c r="C715" s="143"/>
      <c r="D715" s="10"/>
      <c r="E715" s="207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</row>
    <row r="716" ht="12.75" customHeight="1">
      <c r="A716" s="143"/>
      <c r="B716" s="143"/>
      <c r="C716" s="143"/>
      <c r="D716" s="10"/>
      <c r="E716" s="207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</row>
    <row r="717" ht="12.75" customHeight="1">
      <c r="A717" s="143"/>
      <c r="B717" s="143"/>
      <c r="C717" s="143"/>
      <c r="D717" s="10"/>
      <c r="E717" s="207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</row>
    <row r="718" ht="12.75" customHeight="1">
      <c r="A718" s="143"/>
      <c r="B718" s="143"/>
      <c r="C718" s="143"/>
      <c r="D718" s="10"/>
      <c r="E718" s="207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</row>
    <row r="719" ht="12.75" customHeight="1">
      <c r="A719" s="143"/>
      <c r="B719" s="143"/>
      <c r="C719" s="143"/>
      <c r="D719" s="10"/>
      <c r="E719" s="207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</row>
    <row r="720" ht="12.75" customHeight="1">
      <c r="A720" s="143"/>
      <c r="B720" s="143"/>
      <c r="C720" s="143"/>
      <c r="D720" s="10"/>
      <c r="E720" s="207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</row>
    <row r="721" ht="12.75" customHeight="1">
      <c r="A721" s="143"/>
      <c r="B721" s="143"/>
      <c r="C721" s="143"/>
      <c r="D721" s="10"/>
      <c r="E721" s="207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</row>
    <row r="722" ht="12.75" customHeight="1">
      <c r="A722" s="143"/>
      <c r="B722" s="143"/>
      <c r="C722" s="143"/>
      <c r="D722" s="10"/>
      <c r="E722" s="207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</row>
    <row r="723" ht="12.75" customHeight="1">
      <c r="A723" s="143"/>
      <c r="B723" s="143"/>
      <c r="C723" s="143"/>
      <c r="D723" s="10"/>
      <c r="E723" s="207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</row>
    <row r="724" ht="12.75" customHeight="1">
      <c r="A724" s="143"/>
      <c r="B724" s="143"/>
      <c r="C724" s="143"/>
      <c r="D724" s="10"/>
      <c r="E724" s="207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</row>
    <row r="725" ht="12.75" customHeight="1">
      <c r="A725" s="143"/>
      <c r="B725" s="143"/>
      <c r="C725" s="143"/>
      <c r="D725" s="10"/>
      <c r="E725" s="207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</row>
    <row r="726" ht="12.75" customHeight="1">
      <c r="A726" s="143"/>
      <c r="B726" s="143"/>
      <c r="C726" s="143"/>
      <c r="D726" s="10"/>
      <c r="E726" s="207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</row>
    <row r="727" ht="12.75" customHeight="1">
      <c r="A727" s="143"/>
      <c r="B727" s="143"/>
      <c r="C727" s="143"/>
      <c r="D727" s="10"/>
      <c r="E727" s="207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</row>
    <row r="728" ht="12.75" customHeight="1">
      <c r="A728" s="143"/>
      <c r="B728" s="143"/>
      <c r="C728" s="143"/>
      <c r="D728" s="10"/>
      <c r="E728" s="207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</row>
    <row r="729" ht="12.75" customHeight="1">
      <c r="A729" s="143"/>
      <c r="B729" s="143"/>
      <c r="C729" s="143"/>
      <c r="D729" s="10"/>
      <c r="E729" s="207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</row>
    <row r="730" ht="12.75" customHeight="1">
      <c r="A730" s="143"/>
      <c r="B730" s="143"/>
      <c r="C730" s="143"/>
      <c r="D730" s="10"/>
      <c r="E730" s="207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</row>
    <row r="731" ht="12.75" customHeight="1">
      <c r="A731" s="143"/>
      <c r="B731" s="143"/>
      <c r="C731" s="143"/>
      <c r="D731" s="10"/>
      <c r="E731" s="207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</row>
    <row r="732" ht="12.75" customHeight="1">
      <c r="A732" s="143"/>
      <c r="B732" s="143"/>
      <c r="C732" s="143"/>
      <c r="D732" s="10"/>
      <c r="E732" s="207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</row>
    <row r="733" ht="12.75" customHeight="1">
      <c r="A733" s="143"/>
      <c r="B733" s="143"/>
      <c r="C733" s="143"/>
      <c r="D733" s="10"/>
      <c r="E733" s="207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</row>
    <row r="734" ht="12.75" customHeight="1">
      <c r="A734" s="143"/>
      <c r="B734" s="143"/>
      <c r="C734" s="143"/>
      <c r="D734" s="10"/>
      <c r="E734" s="207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</row>
    <row r="735" ht="12.75" customHeight="1">
      <c r="A735" s="143"/>
      <c r="B735" s="143"/>
      <c r="C735" s="143"/>
      <c r="D735" s="10"/>
      <c r="E735" s="207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</row>
    <row r="736" ht="12.75" customHeight="1">
      <c r="A736" s="143"/>
      <c r="B736" s="143"/>
      <c r="C736" s="143"/>
      <c r="D736" s="10"/>
      <c r="E736" s="207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</row>
    <row r="737" ht="12.75" customHeight="1">
      <c r="A737" s="143"/>
      <c r="B737" s="143"/>
      <c r="C737" s="143"/>
      <c r="D737" s="10"/>
      <c r="E737" s="207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</row>
    <row r="738" ht="12.75" customHeight="1">
      <c r="A738" s="143"/>
      <c r="B738" s="143"/>
      <c r="C738" s="143"/>
      <c r="D738" s="10"/>
      <c r="E738" s="207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</row>
    <row r="739" ht="12.75" customHeight="1">
      <c r="A739" s="143"/>
      <c r="B739" s="143"/>
      <c r="C739" s="143"/>
      <c r="D739" s="10"/>
      <c r="E739" s="207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</row>
    <row r="740" ht="12.75" customHeight="1">
      <c r="A740" s="143"/>
      <c r="B740" s="143"/>
      <c r="C740" s="143"/>
      <c r="D740" s="10"/>
      <c r="E740" s="207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</row>
    <row r="741" ht="12.75" customHeight="1">
      <c r="A741" s="143"/>
      <c r="B741" s="143"/>
      <c r="C741" s="143"/>
      <c r="D741" s="10"/>
      <c r="E741" s="207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</row>
    <row r="742" ht="12.75" customHeight="1">
      <c r="A742" s="143"/>
      <c r="B742" s="143"/>
      <c r="C742" s="143"/>
      <c r="D742" s="10"/>
      <c r="E742" s="207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</row>
    <row r="743" ht="12.75" customHeight="1">
      <c r="A743" s="143"/>
      <c r="B743" s="143"/>
      <c r="C743" s="143"/>
      <c r="D743" s="10"/>
      <c r="E743" s="207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</row>
    <row r="744" ht="12.75" customHeight="1">
      <c r="A744" s="143"/>
      <c r="B744" s="143"/>
      <c r="C744" s="143"/>
      <c r="D744" s="10"/>
      <c r="E744" s="207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</row>
    <row r="745" ht="12.75" customHeight="1">
      <c r="A745" s="143"/>
      <c r="B745" s="143"/>
      <c r="C745" s="143"/>
      <c r="D745" s="10"/>
      <c r="E745" s="207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</row>
    <row r="746" ht="12.75" customHeight="1">
      <c r="A746" s="143"/>
      <c r="B746" s="143"/>
      <c r="C746" s="143"/>
      <c r="D746" s="10"/>
      <c r="E746" s="207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</row>
    <row r="747" ht="12.75" customHeight="1">
      <c r="A747" s="143"/>
      <c r="B747" s="143"/>
      <c r="C747" s="143"/>
      <c r="D747" s="10"/>
      <c r="E747" s="207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</row>
    <row r="748" ht="12.75" customHeight="1">
      <c r="A748" s="143"/>
      <c r="B748" s="143"/>
      <c r="C748" s="143"/>
      <c r="D748" s="10"/>
      <c r="E748" s="207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</row>
    <row r="749" ht="12.75" customHeight="1">
      <c r="A749" s="143"/>
      <c r="B749" s="143"/>
      <c r="C749" s="143"/>
      <c r="D749" s="10"/>
      <c r="E749" s="207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</row>
    <row r="750" ht="12.75" customHeight="1">
      <c r="A750" s="143"/>
      <c r="B750" s="143"/>
      <c r="C750" s="143"/>
      <c r="D750" s="10"/>
      <c r="E750" s="207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</row>
    <row r="751" ht="12.75" customHeight="1">
      <c r="A751" s="143"/>
      <c r="B751" s="143"/>
      <c r="C751" s="143"/>
      <c r="D751" s="10"/>
      <c r="E751" s="207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</row>
    <row r="752" ht="12.75" customHeight="1">
      <c r="A752" s="143"/>
      <c r="B752" s="143"/>
      <c r="C752" s="143"/>
      <c r="D752" s="10"/>
      <c r="E752" s="207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</row>
    <row r="753" ht="12.75" customHeight="1">
      <c r="A753" s="143"/>
      <c r="B753" s="143"/>
      <c r="C753" s="143"/>
      <c r="D753" s="10"/>
      <c r="E753" s="207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</row>
    <row r="754" ht="12.75" customHeight="1">
      <c r="A754" s="143"/>
      <c r="B754" s="143"/>
      <c r="C754" s="143"/>
      <c r="D754" s="10"/>
      <c r="E754" s="207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</row>
    <row r="755" ht="12.75" customHeight="1">
      <c r="A755" s="143"/>
      <c r="B755" s="143"/>
      <c r="C755" s="143"/>
      <c r="D755" s="10"/>
      <c r="E755" s="207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</row>
    <row r="756" ht="12.75" customHeight="1">
      <c r="A756" s="143"/>
      <c r="B756" s="143"/>
      <c r="C756" s="143"/>
      <c r="D756" s="10"/>
      <c r="E756" s="207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</row>
    <row r="757" ht="12.75" customHeight="1">
      <c r="A757" s="143"/>
      <c r="B757" s="143"/>
      <c r="C757" s="143"/>
      <c r="D757" s="10"/>
      <c r="E757" s="207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</row>
    <row r="758" ht="12.75" customHeight="1">
      <c r="A758" s="143"/>
      <c r="B758" s="143"/>
      <c r="C758" s="143"/>
      <c r="D758" s="10"/>
      <c r="E758" s="207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</row>
    <row r="759" ht="12.75" customHeight="1">
      <c r="A759" s="143"/>
      <c r="B759" s="143"/>
      <c r="C759" s="143"/>
      <c r="D759" s="10"/>
      <c r="E759" s="207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</row>
    <row r="760" ht="12.75" customHeight="1">
      <c r="A760" s="143"/>
      <c r="B760" s="143"/>
      <c r="C760" s="143"/>
      <c r="D760" s="10"/>
      <c r="E760" s="207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</row>
    <row r="761" ht="12.75" customHeight="1">
      <c r="A761" s="143"/>
      <c r="B761" s="143"/>
      <c r="C761" s="143"/>
      <c r="D761" s="10"/>
      <c r="E761" s="207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</row>
    <row r="762" ht="12.75" customHeight="1">
      <c r="A762" s="143"/>
      <c r="B762" s="143"/>
      <c r="C762" s="143"/>
      <c r="D762" s="10"/>
      <c r="E762" s="207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</row>
    <row r="763" ht="12.75" customHeight="1">
      <c r="A763" s="143"/>
      <c r="B763" s="143"/>
      <c r="C763" s="143"/>
      <c r="D763" s="10"/>
      <c r="E763" s="207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</row>
    <row r="764" ht="12.75" customHeight="1">
      <c r="A764" s="143"/>
      <c r="B764" s="143"/>
      <c r="C764" s="143"/>
      <c r="D764" s="10"/>
      <c r="E764" s="207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</row>
    <row r="765" ht="12.75" customHeight="1">
      <c r="A765" s="143"/>
      <c r="B765" s="143"/>
      <c r="C765" s="143"/>
      <c r="D765" s="10"/>
      <c r="E765" s="207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</row>
    <row r="766" ht="12.75" customHeight="1">
      <c r="A766" s="143"/>
      <c r="B766" s="143"/>
      <c r="C766" s="143"/>
      <c r="D766" s="10"/>
      <c r="E766" s="207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</row>
    <row r="767" ht="12.75" customHeight="1">
      <c r="A767" s="143"/>
      <c r="B767" s="143"/>
      <c r="C767" s="143"/>
      <c r="D767" s="10"/>
      <c r="E767" s="207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</row>
    <row r="768" ht="12.75" customHeight="1">
      <c r="A768" s="143"/>
      <c r="B768" s="143"/>
      <c r="C768" s="143"/>
      <c r="D768" s="10"/>
      <c r="E768" s="207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</row>
    <row r="769" ht="12.75" customHeight="1">
      <c r="A769" s="143"/>
      <c r="B769" s="143"/>
      <c r="C769" s="143"/>
      <c r="D769" s="10"/>
      <c r="E769" s="207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</row>
    <row r="770" ht="12.75" customHeight="1">
      <c r="A770" s="143"/>
      <c r="B770" s="143"/>
      <c r="C770" s="143"/>
      <c r="D770" s="10"/>
      <c r="E770" s="207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</row>
    <row r="771" ht="12.75" customHeight="1">
      <c r="A771" s="143"/>
      <c r="B771" s="143"/>
      <c r="C771" s="143"/>
      <c r="D771" s="10"/>
      <c r="E771" s="207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</row>
    <row r="772" ht="12.75" customHeight="1">
      <c r="A772" s="143"/>
      <c r="B772" s="143"/>
      <c r="C772" s="143"/>
      <c r="D772" s="10"/>
      <c r="E772" s="207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</row>
    <row r="773" ht="12.75" customHeight="1">
      <c r="A773" s="143"/>
      <c r="B773" s="143"/>
      <c r="C773" s="143"/>
      <c r="D773" s="10"/>
      <c r="E773" s="207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</row>
    <row r="774" ht="12.75" customHeight="1">
      <c r="A774" s="143"/>
      <c r="B774" s="143"/>
      <c r="C774" s="143"/>
      <c r="D774" s="10"/>
      <c r="E774" s="207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</row>
    <row r="775" ht="12.75" customHeight="1">
      <c r="A775" s="143"/>
      <c r="B775" s="143"/>
      <c r="C775" s="143"/>
      <c r="D775" s="10"/>
      <c r="E775" s="207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</row>
    <row r="776" ht="12.75" customHeight="1">
      <c r="A776" s="143"/>
      <c r="B776" s="143"/>
      <c r="C776" s="143"/>
      <c r="D776" s="10"/>
      <c r="E776" s="207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</row>
    <row r="777" ht="12.75" customHeight="1">
      <c r="A777" s="143"/>
      <c r="B777" s="143"/>
      <c r="C777" s="143"/>
      <c r="D777" s="10"/>
      <c r="E777" s="207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</row>
    <row r="778" ht="12.75" customHeight="1">
      <c r="A778" s="143"/>
      <c r="B778" s="143"/>
      <c r="C778" s="143"/>
      <c r="D778" s="10"/>
      <c r="E778" s="207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</row>
    <row r="779" ht="12.75" customHeight="1">
      <c r="A779" s="143"/>
      <c r="B779" s="143"/>
      <c r="C779" s="143"/>
      <c r="D779" s="10"/>
      <c r="E779" s="207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</row>
    <row r="780" ht="12.75" customHeight="1">
      <c r="A780" s="143"/>
      <c r="B780" s="143"/>
      <c r="C780" s="143"/>
      <c r="D780" s="10"/>
      <c r="E780" s="207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</row>
    <row r="781" ht="12.75" customHeight="1">
      <c r="A781" s="143"/>
      <c r="B781" s="143"/>
      <c r="C781" s="143"/>
      <c r="D781" s="10"/>
      <c r="E781" s="207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</row>
    <row r="782" ht="12.75" customHeight="1">
      <c r="A782" s="143"/>
      <c r="B782" s="143"/>
      <c r="C782" s="143"/>
      <c r="D782" s="10"/>
      <c r="E782" s="207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</row>
    <row r="783" ht="12.75" customHeight="1">
      <c r="A783" s="143"/>
      <c r="B783" s="143"/>
      <c r="C783" s="143"/>
      <c r="D783" s="10"/>
      <c r="E783" s="207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</row>
    <row r="784" ht="12.75" customHeight="1">
      <c r="A784" s="143"/>
      <c r="B784" s="143"/>
      <c r="C784" s="143"/>
      <c r="D784" s="10"/>
      <c r="E784" s="207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</row>
    <row r="785" ht="12.75" customHeight="1">
      <c r="A785" s="143"/>
      <c r="B785" s="143"/>
      <c r="C785" s="143"/>
      <c r="D785" s="10"/>
      <c r="E785" s="207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</row>
    <row r="786" ht="12.75" customHeight="1">
      <c r="A786" s="143"/>
      <c r="B786" s="143"/>
      <c r="C786" s="143"/>
      <c r="D786" s="10"/>
      <c r="E786" s="207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</row>
    <row r="787" ht="12.75" customHeight="1">
      <c r="A787" s="143"/>
      <c r="B787" s="143"/>
      <c r="C787" s="143"/>
      <c r="D787" s="10"/>
      <c r="E787" s="207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</row>
    <row r="788" ht="12.75" customHeight="1">
      <c r="A788" s="143"/>
      <c r="B788" s="143"/>
      <c r="C788" s="143"/>
      <c r="D788" s="10"/>
      <c r="E788" s="207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</row>
    <row r="789" ht="12.75" customHeight="1">
      <c r="A789" s="143"/>
      <c r="B789" s="143"/>
      <c r="C789" s="143"/>
      <c r="D789" s="10"/>
      <c r="E789" s="207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</row>
    <row r="790" ht="12.75" customHeight="1">
      <c r="A790" s="143"/>
      <c r="B790" s="143"/>
      <c r="C790" s="143"/>
      <c r="D790" s="10"/>
      <c r="E790" s="207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</row>
    <row r="791" ht="12.75" customHeight="1">
      <c r="A791" s="143"/>
      <c r="B791" s="143"/>
      <c r="C791" s="143"/>
      <c r="D791" s="10"/>
      <c r="E791" s="207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</row>
    <row r="792" ht="12.75" customHeight="1">
      <c r="A792" s="143"/>
      <c r="B792" s="143"/>
      <c r="C792" s="143"/>
      <c r="D792" s="10"/>
      <c r="E792" s="207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</row>
    <row r="793" ht="12.75" customHeight="1">
      <c r="A793" s="143"/>
      <c r="B793" s="143"/>
      <c r="C793" s="143"/>
      <c r="D793" s="10"/>
      <c r="E793" s="207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</row>
    <row r="794" ht="12.75" customHeight="1">
      <c r="A794" s="143"/>
      <c r="B794" s="143"/>
      <c r="C794" s="143"/>
      <c r="D794" s="10"/>
      <c r="E794" s="207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</row>
    <row r="795" ht="12.75" customHeight="1">
      <c r="A795" s="143"/>
      <c r="B795" s="143"/>
      <c r="C795" s="143"/>
      <c r="D795" s="10"/>
      <c r="E795" s="207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</row>
    <row r="796" ht="12.75" customHeight="1">
      <c r="A796" s="143"/>
      <c r="B796" s="143"/>
      <c r="C796" s="143"/>
      <c r="D796" s="10"/>
      <c r="E796" s="207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</row>
    <row r="797" ht="12.75" customHeight="1">
      <c r="A797" s="143"/>
      <c r="B797" s="143"/>
      <c r="C797" s="143"/>
      <c r="D797" s="10"/>
      <c r="E797" s="207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</row>
    <row r="798" ht="12.75" customHeight="1">
      <c r="A798" s="143"/>
      <c r="B798" s="143"/>
      <c r="C798" s="143"/>
      <c r="D798" s="10"/>
      <c r="E798" s="207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</row>
    <row r="799" ht="12.75" customHeight="1">
      <c r="A799" s="143"/>
      <c r="B799" s="143"/>
      <c r="C799" s="143"/>
      <c r="D799" s="10"/>
      <c r="E799" s="207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</row>
    <row r="800" ht="12.75" customHeight="1">
      <c r="A800" s="143"/>
      <c r="B800" s="143"/>
      <c r="C800" s="143"/>
      <c r="D800" s="10"/>
      <c r="E800" s="207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</row>
    <row r="801" ht="12.75" customHeight="1">
      <c r="A801" s="143"/>
      <c r="B801" s="143"/>
      <c r="C801" s="143"/>
      <c r="D801" s="10"/>
      <c r="E801" s="207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</row>
    <row r="802" ht="12.75" customHeight="1">
      <c r="A802" s="143"/>
      <c r="B802" s="143"/>
      <c r="C802" s="143"/>
      <c r="D802" s="10"/>
      <c r="E802" s="207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</row>
    <row r="803" ht="12.75" customHeight="1">
      <c r="A803" s="143"/>
      <c r="B803" s="143"/>
      <c r="C803" s="143"/>
      <c r="D803" s="10"/>
      <c r="E803" s="207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</row>
    <row r="804" ht="12.75" customHeight="1">
      <c r="A804" s="143"/>
      <c r="B804" s="143"/>
      <c r="C804" s="143"/>
      <c r="D804" s="10"/>
      <c r="E804" s="207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</row>
    <row r="805" ht="12.75" customHeight="1">
      <c r="A805" s="143"/>
      <c r="B805" s="143"/>
      <c r="C805" s="143"/>
      <c r="D805" s="10"/>
      <c r="E805" s="207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</row>
    <row r="806" ht="12.75" customHeight="1">
      <c r="A806" s="143"/>
      <c r="B806" s="143"/>
      <c r="C806" s="143"/>
      <c r="D806" s="10"/>
      <c r="E806" s="207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</row>
    <row r="807" ht="12.75" customHeight="1">
      <c r="A807" s="143"/>
      <c r="B807" s="143"/>
      <c r="C807" s="143"/>
      <c r="D807" s="10"/>
      <c r="E807" s="207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</row>
    <row r="808" ht="12.75" customHeight="1">
      <c r="A808" s="143"/>
      <c r="B808" s="143"/>
      <c r="C808" s="143"/>
      <c r="D808" s="10"/>
      <c r="E808" s="207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</row>
    <row r="809" ht="12.75" customHeight="1">
      <c r="A809" s="143"/>
      <c r="B809" s="143"/>
      <c r="C809" s="143"/>
      <c r="D809" s="10"/>
      <c r="E809" s="207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</row>
    <row r="810" ht="12.75" customHeight="1">
      <c r="A810" s="143"/>
      <c r="B810" s="143"/>
      <c r="C810" s="143"/>
      <c r="D810" s="10"/>
      <c r="E810" s="207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</row>
    <row r="811" ht="12.75" customHeight="1">
      <c r="A811" s="143"/>
      <c r="B811" s="143"/>
      <c r="C811" s="143"/>
      <c r="D811" s="10"/>
      <c r="E811" s="207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</row>
    <row r="812" ht="12.75" customHeight="1">
      <c r="A812" s="143"/>
      <c r="B812" s="143"/>
      <c r="C812" s="143"/>
      <c r="D812" s="10"/>
      <c r="E812" s="207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</row>
    <row r="813" ht="12.75" customHeight="1">
      <c r="A813" s="143"/>
      <c r="B813" s="143"/>
      <c r="C813" s="143"/>
      <c r="D813" s="10"/>
      <c r="E813" s="207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</row>
    <row r="814" ht="12.75" customHeight="1">
      <c r="A814" s="143"/>
      <c r="B814" s="143"/>
      <c r="C814" s="143"/>
      <c r="D814" s="10"/>
      <c r="E814" s="207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</row>
    <row r="815" ht="12.75" customHeight="1">
      <c r="A815" s="143"/>
      <c r="B815" s="143"/>
      <c r="C815" s="143"/>
      <c r="D815" s="10"/>
      <c r="E815" s="207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</row>
    <row r="816" ht="12.75" customHeight="1">
      <c r="A816" s="143"/>
      <c r="B816" s="143"/>
      <c r="C816" s="143"/>
      <c r="D816" s="10"/>
      <c r="E816" s="207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</row>
    <row r="817" ht="12.75" customHeight="1">
      <c r="A817" s="143"/>
      <c r="B817" s="143"/>
      <c r="C817" s="143"/>
      <c r="D817" s="10"/>
      <c r="E817" s="207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</row>
    <row r="818" ht="12.75" customHeight="1">
      <c r="A818" s="143"/>
      <c r="B818" s="143"/>
      <c r="C818" s="143"/>
      <c r="D818" s="10"/>
      <c r="E818" s="207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</row>
    <row r="819" ht="12.75" customHeight="1">
      <c r="A819" s="143"/>
      <c r="B819" s="143"/>
      <c r="C819" s="143"/>
      <c r="D819" s="10"/>
      <c r="E819" s="207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</row>
    <row r="820" ht="12.75" customHeight="1">
      <c r="A820" s="143"/>
      <c r="B820" s="143"/>
      <c r="C820" s="143"/>
      <c r="D820" s="10"/>
      <c r="E820" s="207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</row>
    <row r="821" ht="12.75" customHeight="1">
      <c r="A821" s="143"/>
      <c r="B821" s="143"/>
      <c r="C821" s="143"/>
      <c r="D821" s="10"/>
      <c r="E821" s="207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</row>
    <row r="822" ht="12.75" customHeight="1">
      <c r="A822" s="143"/>
      <c r="B822" s="143"/>
      <c r="C822" s="143"/>
      <c r="D822" s="10"/>
      <c r="E822" s="207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</row>
    <row r="823" ht="12.75" customHeight="1">
      <c r="A823" s="143"/>
      <c r="B823" s="143"/>
      <c r="C823" s="143"/>
      <c r="D823" s="10"/>
      <c r="E823" s="207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</row>
    <row r="824" ht="12.75" customHeight="1">
      <c r="A824" s="143"/>
      <c r="B824" s="143"/>
      <c r="C824" s="143"/>
      <c r="D824" s="10"/>
      <c r="E824" s="207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</row>
    <row r="825" ht="12.75" customHeight="1">
      <c r="A825" s="143"/>
      <c r="B825" s="143"/>
      <c r="C825" s="143"/>
      <c r="D825" s="10"/>
      <c r="E825" s="207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</row>
    <row r="826" ht="12.75" customHeight="1">
      <c r="A826" s="143"/>
      <c r="B826" s="143"/>
      <c r="C826" s="143"/>
      <c r="D826" s="10"/>
      <c r="E826" s="207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</row>
    <row r="827" ht="12.75" customHeight="1">
      <c r="A827" s="143"/>
      <c r="B827" s="143"/>
      <c r="C827" s="143"/>
      <c r="D827" s="10"/>
      <c r="E827" s="207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</row>
    <row r="828" ht="12.75" customHeight="1">
      <c r="A828" s="143"/>
      <c r="B828" s="143"/>
      <c r="C828" s="143"/>
      <c r="D828" s="10"/>
      <c r="E828" s="207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</row>
    <row r="829" ht="12.75" customHeight="1">
      <c r="A829" s="143"/>
      <c r="B829" s="143"/>
      <c r="C829" s="143"/>
      <c r="D829" s="10"/>
      <c r="E829" s="207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</row>
    <row r="830" ht="12.75" customHeight="1">
      <c r="A830" s="143"/>
      <c r="B830" s="143"/>
      <c r="C830" s="143"/>
      <c r="D830" s="10"/>
      <c r="E830" s="207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</row>
    <row r="831" ht="12.75" customHeight="1">
      <c r="A831" s="143"/>
      <c r="B831" s="143"/>
      <c r="C831" s="143"/>
      <c r="D831" s="10"/>
      <c r="E831" s="207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</row>
    <row r="832" ht="12.75" customHeight="1">
      <c r="A832" s="143"/>
      <c r="B832" s="143"/>
      <c r="C832" s="143"/>
      <c r="D832" s="10"/>
      <c r="E832" s="207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</row>
    <row r="833" ht="12.75" customHeight="1">
      <c r="A833" s="143"/>
      <c r="B833" s="143"/>
      <c r="C833" s="143"/>
      <c r="D833" s="10"/>
      <c r="E833" s="207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</row>
    <row r="834" ht="12.75" customHeight="1">
      <c r="A834" s="143"/>
      <c r="B834" s="143"/>
      <c r="C834" s="143"/>
      <c r="D834" s="10"/>
      <c r="E834" s="207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</row>
    <row r="835" ht="12.75" customHeight="1">
      <c r="A835" s="143"/>
      <c r="B835" s="143"/>
      <c r="C835" s="143"/>
      <c r="D835" s="10"/>
      <c r="E835" s="207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</row>
    <row r="836" ht="12.75" customHeight="1">
      <c r="A836" s="143"/>
      <c r="B836" s="143"/>
      <c r="C836" s="143"/>
      <c r="D836" s="10"/>
      <c r="E836" s="207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</row>
    <row r="837" ht="12.75" customHeight="1">
      <c r="A837" s="143"/>
      <c r="B837" s="143"/>
      <c r="C837" s="143"/>
      <c r="D837" s="10"/>
      <c r="E837" s="207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</row>
    <row r="838" ht="12.75" customHeight="1">
      <c r="A838" s="143"/>
      <c r="B838" s="143"/>
      <c r="C838" s="143"/>
      <c r="D838" s="10"/>
      <c r="E838" s="207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</row>
    <row r="839" ht="12.75" customHeight="1">
      <c r="A839" s="143"/>
      <c r="B839" s="143"/>
      <c r="C839" s="143"/>
      <c r="D839" s="10"/>
      <c r="E839" s="207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</row>
    <row r="840" ht="12.75" customHeight="1">
      <c r="A840" s="143"/>
      <c r="B840" s="143"/>
      <c r="C840" s="143"/>
      <c r="D840" s="10"/>
      <c r="E840" s="207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</row>
    <row r="841" ht="12.75" customHeight="1">
      <c r="A841" s="143"/>
      <c r="B841" s="143"/>
      <c r="C841" s="143"/>
      <c r="D841" s="10"/>
      <c r="E841" s="207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</row>
    <row r="842" ht="12.75" customHeight="1">
      <c r="A842" s="143"/>
      <c r="B842" s="143"/>
      <c r="C842" s="143"/>
      <c r="D842" s="10"/>
      <c r="E842" s="207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</row>
    <row r="843" ht="12.75" customHeight="1">
      <c r="A843" s="143"/>
      <c r="B843" s="143"/>
      <c r="C843" s="143"/>
      <c r="D843" s="10"/>
      <c r="E843" s="207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</row>
    <row r="844" ht="12.75" customHeight="1">
      <c r="A844" s="143"/>
      <c r="B844" s="143"/>
      <c r="C844" s="143"/>
      <c r="D844" s="10"/>
      <c r="E844" s="207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</row>
    <row r="845" ht="12.75" customHeight="1">
      <c r="A845" s="143"/>
      <c r="B845" s="143"/>
      <c r="C845" s="143"/>
      <c r="D845" s="10"/>
      <c r="E845" s="207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</row>
    <row r="846" ht="12.75" customHeight="1">
      <c r="A846" s="143"/>
      <c r="B846" s="143"/>
      <c r="C846" s="143"/>
      <c r="D846" s="10"/>
      <c r="E846" s="207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</row>
    <row r="847" ht="12.75" customHeight="1">
      <c r="A847" s="143"/>
      <c r="B847" s="143"/>
      <c r="C847" s="143"/>
      <c r="D847" s="10"/>
      <c r="E847" s="207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</row>
    <row r="848" ht="12.75" customHeight="1">
      <c r="A848" s="143"/>
      <c r="B848" s="143"/>
      <c r="C848" s="143"/>
      <c r="D848" s="10"/>
      <c r="E848" s="207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</row>
    <row r="849" ht="12.75" customHeight="1">
      <c r="A849" s="143"/>
      <c r="B849" s="143"/>
      <c r="C849" s="143"/>
      <c r="D849" s="10"/>
      <c r="E849" s="207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</row>
    <row r="850" ht="12.75" customHeight="1">
      <c r="A850" s="143"/>
      <c r="B850" s="143"/>
      <c r="C850" s="143"/>
      <c r="D850" s="10"/>
      <c r="E850" s="207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</row>
    <row r="851" ht="12.75" customHeight="1">
      <c r="A851" s="143"/>
      <c r="B851" s="143"/>
      <c r="C851" s="143"/>
      <c r="D851" s="10"/>
      <c r="E851" s="207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</row>
    <row r="852" ht="12.75" customHeight="1">
      <c r="A852" s="143"/>
      <c r="B852" s="143"/>
      <c r="C852" s="143"/>
      <c r="D852" s="10"/>
      <c r="E852" s="207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</row>
    <row r="853" ht="12.75" customHeight="1">
      <c r="A853" s="143"/>
      <c r="B853" s="143"/>
      <c r="C853" s="143"/>
      <c r="D853" s="10"/>
      <c r="E853" s="207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</row>
    <row r="854" ht="12.75" customHeight="1">
      <c r="A854" s="143"/>
      <c r="B854" s="143"/>
      <c r="C854" s="143"/>
      <c r="D854" s="10"/>
      <c r="E854" s="207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</row>
    <row r="855" ht="12.75" customHeight="1">
      <c r="A855" s="143"/>
      <c r="B855" s="143"/>
      <c r="C855" s="143"/>
      <c r="D855" s="10"/>
      <c r="E855" s="207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</row>
    <row r="856" ht="12.75" customHeight="1">
      <c r="A856" s="143"/>
      <c r="B856" s="143"/>
      <c r="C856" s="143"/>
      <c r="D856" s="10"/>
      <c r="E856" s="207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</row>
    <row r="857" ht="12.75" customHeight="1">
      <c r="A857" s="143"/>
      <c r="B857" s="143"/>
      <c r="C857" s="143"/>
      <c r="D857" s="10"/>
      <c r="E857" s="207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</row>
    <row r="858" ht="12.75" customHeight="1">
      <c r="A858" s="143"/>
      <c r="B858" s="143"/>
      <c r="C858" s="143"/>
      <c r="D858" s="10"/>
      <c r="E858" s="207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</row>
    <row r="859" ht="12.75" customHeight="1">
      <c r="A859" s="143"/>
      <c r="B859" s="143"/>
      <c r="C859" s="143"/>
      <c r="D859" s="10"/>
      <c r="E859" s="207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</row>
    <row r="860" ht="12.75" customHeight="1">
      <c r="A860" s="143"/>
      <c r="B860" s="143"/>
      <c r="C860" s="143"/>
      <c r="D860" s="10"/>
      <c r="E860" s="207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</row>
    <row r="861" ht="12.75" customHeight="1">
      <c r="A861" s="143"/>
      <c r="B861" s="143"/>
      <c r="C861" s="143"/>
      <c r="D861" s="10"/>
      <c r="E861" s="207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</row>
    <row r="862" ht="12.75" customHeight="1">
      <c r="A862" s="143"/>
      <c r="B862" s="143"/>
      <c r="C862" s="143"/>
      <c r="D862" s="10"/>
      <c r="E862" s="207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</row>
    <row r="863" ht="12.75" customHeight="1">
      <c r="A863" s="143"/>
      <c r="B863" s="143"/>
      <c r="C863" s="143"/>
      <c r="D863" s="10"/>
      <c r="E863" s="207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</row>
    <row r="864" ht="12.75" customHeight="1">
      <c r="A864" s="143"/>
      <c r="B864" s="143"/>
      <c r="C864" s="143"/>
      <c r="D864" s="10"/>
      <c r="E864" s="207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</row>
    <row r="865" ht="12.75" customHeight="1">
      <c r="A865" s="143"/>
      <c r="B865" s="143"/>
      <c r="C865" s="143"/>
      <c r="D865" s="10"/>
      <c r="E865" s="207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</row>
    <row r="866" ht="12.75" customHeight="1">
      <c r="A866" s="143"/>
      <c r="B866" s="143"/>
      <c r="C866" s="143"/>
      <c r="D866" s="10"/>
      <c r="E866" s="207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</row>
    <row r="867" ht="12.75" customHeight="1">
      <c r="A867" s="143"/>
      <c r="B867" s="143"/>
      <c r="C867" s="143"/>
      <c r="D867" s="10"/>
      <c r="E867" s="207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</row>
    <row r="868" ht="12.75" customHeight="1">
      <c r="A868" s="143"/>
      <c r="B868" s="143"/>
      <c r="C868" s="143"/>
      <c r="D868" s="10"/>
      <c r="E868" s="207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</row>
    <row r="869" ht="12.75" customHeight="1">
      <c r="A869" s="143"/>
      <c r="B869" s="143"/>
      <c r="C869" s="143"/>
      <c r="D869" s="10"/>
      <c r="E869" s="207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</row>
    <row r="870" ht="12.75" customHeight="1">
      <c r="A870" s="143"/>
      <c r="B870" s="143"/>
      <c r="C870" s="143"/>
      <c r="D870" s="10"/>
      <c r="E870" s="207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</row>
    <row r="871" ht="12.75" customHeight="1">
      <c r="A871" s="143"/>
      <c r="B871" s="143"/>
      <c r="C871" s="143"/>
      <c r="D871" s="10"/>
      <c r="E871" s="207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</row>
    <row r="872" ht="12.75" customHeight="1">
      <c r="A872" s="143"/>
      <c r="B872" s="143"/>
      <c r="C872" s="143"/>
      <c r="D872" s="10"/>
      <c r="E872" s="207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</row>
    <row r="873" ht="12.75" customHeight="1">
      <c r="A873" s="143"/>
      <c r="B873" s="143"/>
      <c r="C873" s="143"/>
      <c r="D873" s="10"/>
      <c r="E873" s="207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</row>
    <row r="874" ht="12.75" customHeight="1">
      <c r="A874" s="143"/>
      <c r="B874" s="143"/>
      <c r="C874" s="143"/>
      <c r="D874" s="10"/>
      <c r="E874" s="207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</row>
    <row r="875" ht="12.75" customHeight="1">
      <c r="A875" s="143"/>
      <c r="B875" s="143"/>
      <c r="C875" s="143"/>
      <c r="D875" s="10"/>
      <c r="E875" s="207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</row>
    <row r="876" ht="12.75" customHeight="1">
      <c r="A876" s="143"/>
      <c r="B876" s="143"/>
      <c r="C876" s="143"/>
      <c r="D876" s="10"/>
      <c r="E876" s="207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</row>
    <row r="877" ht="12.75" customHeight="1">
      <c r="A877" s="143"/>
      <c r="B877" s="143"/>
      <c r="C877" s="143"/>
      <c r="D877" s="10"/>
      <c r="E877" s="207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</row>
    <row r="878" ht="12.75" customHeight="1">
      <c r="A878" s="143"/>
      <c r="B878" s="143"/>
      <c r="C878" s="143"/>
      <c r="D878" s="10"/>
      <c r="E878" s="207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</row>
    <row r="879" ht="12.75" customHeight="1">
      <c r="A879" s="143"/>
      <c r="B879" s="143"/>
      <c r="C879" s="143"/>
      <c r="D879" s="10"/>
      <c r="E879" s="207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</row>
    <row r="880" ht="12.75" customHeight="1">
      <c r="A880" s="143"/>
      <c r="B880" s="143"/>
      <c r="C880" s="143"/>
      <c r="D880" s="10"/>
      <c r="E880" s="207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</row>
    <row r="881" ht="12.75" customHeight="1">
      <c r="A881" s="143"/>
      <c r="B881" s="143"/>
      <c r="C881" s="143"/>
      <c r="D881" s="10"/>
      <c r="E881" s="207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</row>
    <row r="882" ht="12.75" customHeight="1">
      <c r="A882" s="143"/>
      <c r="B882" s="143"/>
      <c r="C882" s="143"/>
      <c r="D882" s="10"/>
      <c r="E882" s="207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</row>
    <row r="883" ht="12.75" customHeight="1">
      <c r="A883" s="143"/>
      <c r="B883" s="143"/>
      <c r="C883" s="143"/>
      <c r="D883" s="10"/>
      <c r="E883" s="207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</row>
    <row r="884" ht="12.75" customHeight="1">
      <c r="A884" s="143"/>
      <c r="B884" s="143"/>
      <c r="C884" s="143"/>
      <c r="D884" s="10"/>
      <c r="E884" s="207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</row>
    <row r="885" ht="12.75" customHeight="1">
      <c r="A885" s="143"/>
      <c r="B885" s="143"/>
      <c r="C885" s="143"/>
      <c r="D885" s="10"/>
      <c r="E885" s="207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</row>
    <row r="886" ht="12.75" customHeight="1">
      <c r="A886" s="143"/>
      <c r="B886" s="143"/>
      <c r="C886" s="143"/>
      <c r="D886" s="10"/>
      <c r="E886" s="207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</row>
    <row r="887" ht="12.75" customHeight="1">
      <c r="A887" s="143"/>
      <c r="B887" s="143"/>
      <c r="C887" s="143"/>
      <c r="D887" s="10"/>
      <c r="E887" s="207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</row>
    <row r="888" ht="12.75" customHeight="1">
      <c r="A888" s="143"/>
      <c r="B888" s="143"/>
      <c r="C888" s="143"/>
      <c r="D888" s="10"/>
      <c r="E888" s="207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</row>
    <row r="889" ht="12.75" customHeight="1">
      <c r="A889" s="143"/>
      <c r="B889" s="143"/>
      <c r="C889" s="143"/>
      <c r="D889" s="10"/>
      <c r="E889" s="207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</row>
    <row r="890" ht="12.75" customHeight="1">
      <c r="A890" s="143"/>
      <c r="B890" s="143"/>
      <c r="C890" s="143"/>
      <c r="D890" s="10"/>
      <c r="E890" s="207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</row>
    <row r="891" ht="12.75" customHeight="1">
      <c r="A891" s="143"/>
      <c r="B891" s="143"/>
      <c r="C891" s="143"/>
      <c r="D891" s="10"/>
      <c r="E891" s="207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</row>
    <row r="892" ht="12.75" customHeight="1">
      <c r="A892" s="143"/>
      <c r="B892" s="143"/>
      <c r="C892" s="143"/>
      <c r="D892" s="10"/>
      <c r="E892" s="207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</row>
    <row r="893" ht="12.75" customHeight="1">
      <c r="A893" s="143"/>
      <c r="B893" s="143"/>
      <c r="C893" s="143"/>
      <c r="D893" s="10"/>
      <c r="E893" s="207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</row>
    <row r="894" ht="12.75" customHeight="1">
      <c r="A894" s="143"/>
      <c r="B894" s="143"/>
      <c r="C894" s="143"/>
      <c r="D894" s="10"/>
      <c r="E894" s="207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</row>
    <row r="895" ht="12.75" customHeight="1">
      <c r="A895" s="143"/>
      <c r="B895" s="143"/>
      <c r="C895" s="143"/>
      <c r="D895" s="10"/>
      <c r="E895" s="207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</row>
    <row r="896" ht="12.75" customHeight="1">
      <c r="A896" s="143"/>
      <c r="B896" s="143"/>
      <c r="C896" s="143"/>
      <c r="D896" s="10"/>
      <c r="E896" s="207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</row>
    <row r="897" ht="12.75" customHeight="1">
      <c r="A897" s="143"/>
      <c r="B897" s="143"/>
      <c r="C897" s="143"/>
      <c r="D897" s="10"/>
      <c r="E897" s="207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</row>
    <row r="898" ht="12.75" customHeight="1">
      <c r="A898" s="143"/>
      <c r="B898" s="143"/>
      <c r="C898" s="143"/>
      <c r="D898" s="10"/>
      <c r="E898" s="207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</row>
    <row r="899" ht="12.75" customHeight="1">
      <c r="A899" s="143"/>
      <c r="B899" s="143"/>
      <c r="C899" s="143"/>
      <c r="D899" s="10"/>
      <c r="E899" s="207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</row>
    <row r="900" ht="12.75" customHeight="1">
      <c r="A900" s="143"/>
      <c r="B900" s="143"/>
      <c r="C900" s="143"/>
      <c r="D900" s="10"/>
      <c r="E900" s="207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</row>
    <row r="901" ht="12.75" customHeight="1">
      <c r="A901" s="143"/>
      <c r="B901" s="143"/>
      <c r="C901" s="143"/>
      <c r="D901" s="10"/>
      <c r="E901" s="207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</row>
    <row r="902" ht="12.75" customHeight="1">
      <c r="A902" s="143"/>
      <c r="B902" s="143"/>
      <c r="C902" s="143"/>
      <c r="D902" s="10"/>
      <c r="E902" s="207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</row>
    <row r="903" ht="12.75" customHeight="1">
      <c r="A903" s="143"/>
      <c r="B903" s="143"/>
      <c r="C903" s="143"/>
      <c r="D903" s="10"/>
      <c r="E903" s="207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</row>
    <row r="904" ht="12.75" customHeight="1">
      <c r="A904" s="143"/>
      <c r="B904" s="143"/>
      <c r="C904" s="143"/>
      <c r="D904" s="10"/>
      <c r="E904" s="207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</row>
    <row r="905" ht="12.75" customHeight="1">
      <c r="A905" s="143"/>
      <c r="B905" s="143"/>
      <c r="C905" s="143"/>
      <c r="D905" s="10"/>
      <c r="E905" s="207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</row>
    <row r="906" ht="12.75" customHeight="1">
      <c r="A906" s="143"/>
      <c r="B906" s="143"/>
      <c r="C906" s="143"/>
      <c r="D906" s="10"/>
      <c r="E906" s="207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</row>
    <row r="907" ht="12.75" customHeight="1">
      <c r="A907" s="143"/>
      <c r="B907" s="143"/>
      <c r="C907" s="143"/>
      <c r="D907" s="10"/>
      <c r="E907" s="207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</row>
    <row r="908" ht="12.75" customHeight="1">
      <c r="A908" s="143"/>
      <c r="B908" s="143"/>
      <c r="C908" s="143"/>
      <c r="D908" s="10"/>
      <c r="E908" s="207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</row>
    <row r="909" ht="12.75" customHeight="1">
      <c r="A909" s="143"/>
      <c r="B909" s="143"/>
      <c r="C909" s="143"/>
      <c r="D909" s="10"/>
      <c r="E909" s="207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</row>
    <row r="910" ht="12.75" customHeight="1">
      <c r="A910" s="143"/>
      <c r="B910" s="143"/>
      <c r="C910" s="143"/>
      <c r="D910" s="10"/>
      <c r="E910" s="207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</row>
    <row r="911" ht="12.75" customHeight="1">
      <c r="A911" s="143"/>
      <c r="B911" s="143"/>
      <c r="C911" s="143"/>
      <c r="D911" s="10"/>
      <c r="E911" s="207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</row>
    <row r="912" ht="12.75" customHeight="1">
      <c r="A912" s="143"/>
      <c r="B912" s="143"/>
      <c r="C912" s="143"/>
      <c r="D912" s="10"/>
      <c r="E912" s="207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</row>
    <row r="913" ht="12.75" customHeight="1">
      <c r="A913" s="143"/>
      <c r="B913" s="143"/>
      <c r="C913" s="143"/>
      <c r="D913" s="10"/>
      <c r="E913" s="207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</row>
    <row r="914" ht="12.75" customHeight="1">
      <c r="A914" s="143"/>
      <c r="B914" s="143"/>
      <c r="C914" s="143"/>
      <c r="D914" s="10"/>
      <c r="E914" s="207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</row>
    <row r="915" ht="12.75" customHeight="1">
      <c r="A915" s="143"/>
      <c r="B915" s="143"/>
      <c r="C915" s="143"/>
      <c r="D915" s="10"/>
      <c r="E915" s="207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</row>
    <row r="916" ht="12.75" customHeight="1">
      <c r="A916" s="143"/>
      <c r="B916" s="143"/>
      <c r="C916" s="143"/>
      <c r="D916" s="10"/>
      <c r="E916" s="207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</row>
    <row r="917" ht="12.75" customHeight="1">
      <c r="A917" s="143"/>
      <c r="B917" s="143"/>
      <c r="C917" s="143"/>
      <c r="D917" s="10"/>
      <c r="E917" s="207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</row>
    <row r="918" ht="12.75" customHeight="1">
      <c r="A918" s="143"/>
      <c r="B918" s="143"/>
      <c r="C918" s="143"/>
      <c r="D918" s="10"/>
      <c r="E918" s="207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</row>
    <row r="919" ht="12.75" customHeight="1">
      <c r="A919" s="143"/>
      <c r="B919" s="143"/>
      <c r="C919" s="143"/>
      <c r="D919" s="10"/>
      <c r="E919" s="207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</row>
    <row r="920" ht="12.75" customHeight="1">
      <c r="A920" s="143"/>
      <c r="B920" s="143"/>
      <c r="C920" s="143"/>
      <c r="D920" s="10"/>
      <c r="E920" s="207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</row>
    <row r="921" ht="12.75" customHeight="1">
      <c r="A921" s="143"/>
      <c r="B921" s="143"/>
      <c r="C921" s="143"/>
      <c r="D921" s="10"/>
      <c r="E921" s="207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</row>
    <row r="922" ht="12.75" customHeight="1">
      <c r="A922" s="143"/>
      <c r="B922" s="143"/>
      <c r="C922" s="143"/>
      <c r="D922" s="10"/>
      <c r="E922" s="207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</row>
    <row r="923" ht="12.75" customHeight="1">
      <c r="A923" s="143"/>
      <c r="B923" s="143"/>
      <c r="C923" s="143"/>
      <c r="D923" s="10"/>
      <c r="E923" s="207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</row>
    <row r="924" ht="12.75" customHeight="1">
      <c r="A924" s="143"/>
      <c r="B924" s="143"/>
      <c r="C924" s="143"/>
      <c r="D924" s="10"/>
      <c r="E924" s="207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</row>
    <row r="925" ht="12.75" customHeight="1">
      <c r="A925" s="143"/>
      <c r="B925" s="143"/>
      <c r="C925" s="143"/>
      <c r="D925" s="10"/>
      <c r="E925" s="207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</row>
    <row r="926" ht="12.75" customHeight="1">
      <c r="A926" s="143"/>
      <c r="B926" s="143"/>
      <c r="C926" s="143"/>
      <c r="D926" s="10"/>
      <c r="E926" s="207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</row>
    <row r="927" ht="12.75" customHeight="1">
      <c r="A927" s="143"/>
      <c r="B927" s="143"/>
      <c r="C927" s="143"/>
      <c r="D927" s="10"/>
      <c r="E927" s="207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</row>
    <row r="928" ht="12.75" customHeight="1">
      <c r="A928" s="143"/>
      <c r="B928" s="143"/>
      <c r="C928" s="143"/>
      <c r="D928" s="10"/>
      <c r="E928" s="207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</row>
    <row r="929" ht="12.75" customHeight="1">
      <c r="A929" s="143"/>
      <c r="B929" s="143"/>
      <c r="C929" s="143"/>
      <c r="D929" s="10"/>
      <c r="E929" s="207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</row>
    <row r="930" ht="12.75" customHeight="1">
      <c r="A930" s="143"/>
      <c r="B930" s="143"/>
      <c r="C930" s="143"/>
      <c r="D930" s="10"/>
      <c r="E930" s="207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</row>
    <row r="931" ht="12.75" customHeight="1">
      <c r="A931" s="143"/>
      <c r="B931" s="143"/>
      <c r="C931" s="143"/>
      <c r="D931" s="10"/>
      <c r="E931" s="207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</row>
    <row r="932" ht="12.75" customHeight="1">
      <c r="A932" s="143"/>
      <c r="B932" s="143"/>
      <c r="C932" s="143"/>
      <c r="D932" s="10"/>
      <c r="E932" s="207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</row>
    <row r="933" ht="12.75" customHeight="1">
      <c r="A933" s="143"/>
      <c r="B933" s="143"/>
      <c r="C933" s="143"/>
      <c r="D933" s="10"/>
      <c r="E933" s="207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</row>
    <row r="934" ht="12.75" customHeight="1">
      <c r="A934" s="143"/>
      <c r="B934" s="143"/>
      <c r="C934" s="143"/>
      <c r="D934" s="10"/>
      <c r="E934" s="207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</row>
    <row r="935" ht="12.75" customHeight="1">
      <c r="A935" s="143"/>
      <c r="B935" s="143"/>
      <c r="C935" s="143"/>
      <c r="D935" s="10"/>
      <c r="E935" s="207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</row>
    <row r="936" ht="12.75" customHeight="1">
      <c r="A936" s="143"/>
      <c r="B936" s="143"/>
      <c r="C936" s="143"/>
      <c r="D936" s="10"/>
      <c r="E936" s="207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</row>
    <row r="937" ht="12.75" customHeight="1">
      <c r="A937" s="143"/>
      <c r="B937" s="143"/>
      <c r="C937" s="143"/>
      <c r="D937" s="10"/>
      <c r="E937" s="207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</row>
    <row r="938" ht="12.75" customHeight="1">
      <c r="A938" s="143"/>
      <c r="B938" s="143"/>
      <c r="C938" s="143"/>
      <c r="D938" s="10"/>
      <c r="E938" s="207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</row>
    <row r="939" ht="12.75" customHeight="1">
      <c r="A939" s="143"/>
      <c r="B939" s="143"/>
      <c r="C939" s="143"/>
      <c r="D939" s="10"/>
      <c r="E939" s="207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</row>
    <row r="940" ht="12.75" customHeight="1">
      <c r="A940" s="143"/>
      <c r="B940" s="143"/>
      <c r="C940" s="143"/>
      <c r="D940" s="10"/>
      <c r="E940" s="207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</row>
    <row r="941" ht="12.75" customHeight="1">
      <c r="A941" s="143"/>
      <c r="B941" s="143"/>
      <c r="C941" s="143"/>
      <c r="D941" s="10"/>
      <c r="E941" s="207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</row>
    <row r="942" ht="12.75" customHeight="1">
      <c r="A942" s="143"/>
      <c r="B942" s="143"/>
      <c r="C942" s="143"/>
      <c r="D942" s="10"/>
      <c r="E942" s="207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</row>
    <row r="943" ht="12.75" customHeight="1">
      <c r="A943" s="143"/>
      <c r="B943" s="143"/>
      <c r="C943" s="143"/>
      <c r="D943" s="10"/>
      <c r="E943" s="207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</row>
    <row r="944" ht="12.75" customHeight="1">
      <c r="A944" s="143"/>
      <c r="B944" s="143"/>
      <c r="C944" s="143"/>
      <c r="D944" s="10"/>
      <c r="E944" s="207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</row>
    <row r="945" ht="12.75" customHeight="1">
      <c r="A945" s="143"/>
      <c r="B945" s="143"/>
      <c r="C945" s="143"/>
      <c r="D945" s="10"/>
      <c r="E945" s="207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</row>
    <row r="946" ht="12.75" customHeight="1">
      <c r="A946" s="143"/>
      <c r="B946" s="143"/>
      <c r="C946" s="143"/>
      <c r="D946" s="10"/>
      <c r="E946" s="207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</row>
    <row r="947" ht="12.75" customHeight="1">
      <c r="A947" s="143"/>
      <c r="B947" s="143"/>
      <c r="C947" s="143"/>
      <c r="D947" s="10"/>
      <c r="E947" s="207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</row>
    <row r="948" ht="12.75" customHeight="1">
      <c r="A948" s="143"/>
      <c r="B948" s="143"/>
      <c r="C948" s="143"/>
      <c r="D948" s="10"/>
      <c r="E948" s="207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</row>
    <row r="949" ht="12.75" customHeight="1">
      <c r="A949" s="143"/>
      <c r="B949" s="143"/>
      <c r="C949" s="143"/>
      <c r="D949" s="10"/>
      <c r="E949" s="207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</row>
    <row r="950" ht="12.75" customHeight="1">
      <c r="A950" s="143"/>
      <c r="B950" s="143"/>
      <c r="C950" s="143"/>
      <c r="D950" s="10"/>
      <c r="E950" s="207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</row>
    <row r="951" ht="12.75" customHeight="1">
      <c r="A951" s="143"/>
      <c r="B951" s="143"/>
      <c r="C951" s="143"/>
      <c r="D951" s="10"/>
      <c r="E951" s="207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</row>
    <row r="952" ht="12.75" customHeight="1">
      <c r="A952" s="143"/>
      <c r="B952" s="143"/>
      <c r="C952" s="143"/>
      <c r="D952" s="10"/>
      <c r="E952" s="207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</row>
    <row r="953" ht="12.75" customHeight="1">
      <c r="A953" s="143"/>
      <c r="B953" s="143"/>
      <c r="C953" s="143"/>
      <c r="D953" s="10"/>
      <c r="E953" s="207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</row>
    <row r="954" ht="12.75" customHeight="1">
      <c r="A954" s="143"/>
      <c r="B954" s="143"/>
      <c r="C954" s="143"/>
      <c r="D954" s="10"/>
      <c r="E954" s="207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</row>
    <row r="955" ht="12.75" customHeight="1">
      <c r="A955" s="143"/>
      <c r="B955" s="143"/>
      <c r="C955" s="143"/>
      <c r="D955" s="10"/>
      <c r="E955" s="207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</row>
    <row r="956" ht="12.75" customHeight="1">
      <c r="A956" s="143"/>
      <c r="B956" s="143"/>
      <c r="C956" s="143"/>
      <c r="D956" s="10"/>
      <c r="E956" s="207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</row>
    <row r="957" ht="12.75" customHeight="1">
      <c r="A957" s="143"/>
      <c r="B957" s="143"/>
      <c r="C957" s="143"/>
      <c r="D957" s="10"/>
      <c r="E957" s="207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</row>
    <row r="958" ht="12.75" customHeight="1">
      <c r="A958" s="143"/>
      <c r="B958" s="143"/>
      <c r="C958" s="143"/>
      <c r="D958" s="10"/>
      <c r="E958" s="207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</row>
    <row r="959" ht="12.75" customHeight="1">
      <c r="A959" s="143"/>
      <c r="B959" s="143"/>
      <c r="C959" s="143"/>
      <c r="D959" s="10"/>
      <c r="E959" s="207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</row>
    <row r="960" ht="12.75" customHeight="1">
      <c r="A960" s="143"/>
      <c r="B960" s="143"/>
      <c r="C960" s="143"/>
      <c r="D960" s="10"/>
      <c r="E960" s="207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</row>
    <row r="961" ht="12.75" customHeight="1">
      <c r="A961" s="143"/>
      <c r="B961" s="143"/>
      <c r="C961" s="143"/>
      <c r="D961" s="10"/>
      <c r="E961" s="207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</row>
    <row r="962" ht="12.75" customHeight="1">
      <c r="A962" s="143"/>
      <c r="B962" s="143"/>
      <c r="C962" s="143"/>
      <c r="D962" s="10"/>
      <c r="E962" s="207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</row>
    <row r="963" ht="12.75" customHeight="1">
      <c r="A963" s="143"/>
      <c r="B963" s="143"/>
      <c r="C963" s="143"/>
      <c r="D963" s="10"/>
      <c r="E963" s="207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</row>
    <row r="964" ht="12.75" customHeight="1">
      <c r="A964" s="143"/>
      <c r="B964" s="143"/>
      <c r="C964" s="143"/>
      <c r="D964" s="10"/>
      <c r="E964" s="207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</row>
    <row r="965" ht="12.75" customHeight="1">
      <c r="A965" s="143"/>
      <c r="B965" s="143"/>
      <c r="C965" s="143"/>
      <c r="D965" s="10"/>
      <c r="E965" s="207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</row>
    <row r="966" ht="12.75" customHeight="1">
      <c r="A966" s="143"/>
      <c r="B966" s="143"/>
      <c r="C966" s="143"/>
      <c r="D966" s="10"/>
      <c r="E966" s="207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</row>
    <row r="967" ht="12.75" customHeight="1">
      <c r="A967" s="143"/>
      <c r="B967" s="143"/>
      <c r="C967" s="143"/>
      <c r="D967" s="10"/>
      <c r="E967" s="207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</row>
    <row r="968" ht="12.75" customHeight="1">
      <c r="A968" s="143"/>
      <c r="B968" s="143"/>
      <c r="C968" s="143"/>
      <c r="D968" s="10"/>
      <c r="E968" s="207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</row>
    <row r="969" ht="12.75" customHeight="1">
      <c r="A969" s="143"/>
      <c r="B969" s="143"/>
      <c r="C969" s="143"/>
      <c r="D969" s="10"/>
      <c r="E969" s="207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</row>
    <row r="970" ht="12.75" customHeight="1">
      <c r="A970" s="143"/>
      <c r="B970" s="143"/>
      <c r="C970" s="143"/>
      <c r="D970" s="10"/>
      <c r="E970" s="207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</row>
    <row r="971" ht="12.75" customHeight="1">
      <c r="A971" s="143"/>
      <c r="B971" s="143"/>
      <c r="C971" s="143"/>
      <c r="D971" s="10"/>
      <c r="E971" s="207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</row>
    <row r="972" ht="12.75" customHeight="1">
      <c r="A972" s="143"/>
      <c r="B972" s="143"/>
      <c r="C972" s="143"/>
      <c r="D972" s="10"/>
      <c r="E972" s="207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</row>
    <row r="973" ht="12.75" customHeight="1">
      <c r="A973" s="143"/>
      <c r="B973" s="143"/>
      <c r="C973" s="143"/>
      <c r="D973" s="10"/>
      <c r="E973" s="207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</row>
    <row r="974" ht="12.75" customHeight="1">
      <c r="A974" s="143"/>
      <c r="B974" s="143"/>
      <c r="C974" s="143"/>
      <c r="D974" s="10"/>
      <c r="E974" s="207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</row>
    <row r="975" ht="12.75" customHeight="1">
      <c r="A975" s="143"/>
      <c r="B975" s="143"/>
      <c r="C975" s="143"/>
      <c r="D975" s="10"/>
      <c r="E975" s="207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</row>
    <row r="976" ht="12.75" customHeight="1">
      <c r="A976" s="143"/>
      <c r="B976" s="143"/>
      <c r="C976" s="143"/>
      <c r="D976" s="10"/>
      <c r="E976" s="207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</row>
    <row r="977" ht="12.75" customHeight="1">
      <c r="A977" s="143"/>
      <c r="B977" s="143"/>
      <c r="C977" s="143"/>
      <c r="D977" s="10"/>
      <c r="E977" s="207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</row>
    <row r="978" ht="12.75" customHeight="1">
      <c r="A978" s="143"/>
      <c r="B978" s="143"/>
      <c r="C978" s="143"/>
      <c r="D978" s="10"/>
      <c r="E978" s="207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</row>
    <row r="979" ht="12.75" customHeight="1">
      <c r="A979" s="143"/>
      <c r="B979" s="143"/>
      <c r="C979" s="143"/>
      <c r="D979" s="10"/>
      <c r="E979" s="207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</row>
    <row r="980" ht="12.75" customHeight="1">
      <c r="A980" s="143"/>
      <c r="B980" s="143"/>
      <c r="C980" s="143"/>
      <c r="D980" s="10"/>
      <c r="E980" s="207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</row>
    <row r="981" ht="12.75" customHeight="1">
      <c r="A981" s="143"/>
      <c r="B981" s="143"/>
      <c r="C981" s="143"/>
      <c r="D981" s="10"/>
      <c r="E981" s="207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</row>
    <row r="982" ht="12.75" customHeight="1">
      <c r="A982" s="143"/>
      <c r="B982" s="143"/>
      <c r="C982" s="143"/>
      <c r="D982" s="10"/>
      <c r="E982" s="207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</row>
    <row r="983" ht="12.75" customHeight="1">
      <c r="A983" s="143"/>
      <c r="B983" s="143"/>
      <c r="C983" s="143"/>
      <c r="D983" s="10"/>
      <c r="E983" s="207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</row>
    <row r="984" ht="12.75" customHeight="1">
      <c r="A984" s="143"/>
      <c r="B984" s="143"/>
      <c r="C984" s="143"/>
      <c r="D984" s="10"/>
      <c r="E984" s="207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</row>
    <row r="985" ht="12.75" customHeight="1">
      <c r="A985" s="143"/>
      <c r="B985" s="143"/>
      <c r="C985" s="143"/>
      <c r="D985" s="10"/>
      <c r="E985" s="207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</row>
    <row r="986" ht="12.75" customHeight="1">
      <c r="A986" s="143"/>
      <c r="B986" s="143"/>
      <c r="C986" s="143"/>
      <c r="D986" s="10"/>
      <c r="E986" s="207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</row>
    <row r="987" ht="12.75" customHeight="1">
      <c r="A987" s="143"/>
      <c r="B987" s="143"/>
      <c r="C987" s="143"/>
      <c r="D987" s="10"/>
      <c r="E987" s="207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</row>
    <row r="988" ht="12.75" customHeight="1">
      <c r="A988" s="143"/>
      <c r="B988" s="143"/>
      <c r="C988" s="143"/>
      <c r="D988" s="10"/>
      <c r="E988" s="207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</row>
    <row r="989" ht="12.75" customHeight="1">
      <c r="A989" s="143"/>
      <c r="B989" s="143"/>
      <c r="C989" s="143"/>
      <c r="D989" s="10"/>
      <c r="E989" s="207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</row>
    <row r="990" ht="12.75" customHeight="1">
      <c r="A990" s="143"/>
      <c r="B990" s="143"/>
      <c r="C990" s="143"/>
      <c r="D990" s="10"/>
      <c r="E990" s="207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</row>
    <row r="991" ht="12.75" customHeight="1">
      <c r="A991" s="143"/>
      <c r="B991" s="143"/>
      <c r="C991" s="143"/>
      <c r="D991" s="10"/>
      <c r="E991" s="207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</row>
    <row r="992" ht="12.75" customHeight="1">
      <c r="A992" s="143"/>
      <c r="B992" s="143"/>
      <c r="C992" s="143"/>
      <c r="D992" s="10"/>
      <c r="E992" s="207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</row>
    <row r="993" ht="12.75" customHeight="1">
      <c r="A993" s="143"/>
      <c r="B993" s="143"/>
      <c r="C993" s="143"/>
      <c r="D993" s="10"/>
      <c r="E993" s="207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</row>
    <row r="994" ht="12.75" customHeight="1">
      <c r="A994" s="143"/>
      <c r="B994" s="143"/>
      <c r="C994" s="143"/>
      <c r="D994" s="10"/>
      <c r="E994" s="207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</row>
    <row r="995" ht="12.75" customHeight="1">
      <c r="A995" s="143"/>
      <c r="B995" s="143"/>
      <c r="C995" s="143"/>
      <c r="D995" s="10"/>
      <c r="E995" s="207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</row>
    <row r="996" ht="12.75" customHeight="1">
      <c r="A996" s="143"/>
      <c r="B996" s="143"/>
      <c r="C996" s="143"/>
      <c r="D996" s="10"/>
      <c r="E996" s="207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</row>
    <row r="997" ht="12.75" customHeight="1">
      <c r="A997" s="143"/>
      <c r="B997" s="143"/>
      <c r="C997" s="143"/>
      <c r="D997" s="10"/>
      <c r="E997" s="207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</row>
    <row r="998" ht="12.75" customHeight="1">
      <c r="A998" s="143"/>
      <c r="B998" s="143"/>
      <c r="C998" s="143"/>
      <c r="D998" s="10"/>
      <c r="E998" s="207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</row>
    <row r="999" ht="12.75" customHeight="1">
      <c r="A999" s="143"/>
      <c r="B999" s="143"/>
      <c r="C999" s="143"/>
      <c r="D999" s="10"/>
      <c r="E999" s="207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</row>
    <row r="1000" ht="12.75" customHeight="1">
      <c r="A1000" s="143"/>
      <c r="B1000" s="143"/>
      <c r="C1000" s="143"/>
      <c r="D1000" s="10"/>
      <c r="E1000" s="207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</row>
  </sheetData>
  <mergeCells count="10">
    <mergeCell ref="AH53:AQ53"/>
    <mergeCell ref="AH54:AQ54"/>
    <mergeCell ref="BQ54:BZ54"/>
    <mergeCell ref="AA8:AB8"/>
    <mergeCell ref="BJ8:BK8"/>
    <mergeCell ref="L10:L13"/>
    <mergeCell ref="M10:M13"/>
    <mergeCell ref="N10:N13"/>
    <mergeCell ref="C11:C12"/>
    <mergeCell ref="BQ53:BZ53"/>
  </mergeCells>
  <conditionalFormatting sqref="O13:AS13">
    <cfRule type="cellIs" dxfId="0" priority="1" operator="equal">
      <formula>"do."</formula>
    </cfRule>
  </conditionalFormatting>
  <conditionalFormatting sqref="O13:AS13">
    <cfRule type="cellIs" dxfId="0" priority="2" operator="equal">
      <formula>"sá."</formula>
    </cfRule>
  </conditionalFormatting>
  <conditionalFormatting sqref="O13:AS13">
    <cfRule type="cellIs" dxfId="0" priority="3" operator="equal">
      <formula>"sa."</formula>
    </cfRule>
  </conditionalFormatting>
  <conditionalFormatting sqref="O13:AS13">
    <cfRule type="cellIs" dxfId="0" priority="4" operator="equal">
      <formula>"D"</formula>
    </cfRule>
  </conditionalFormatting>
  <conditionalFormatting sqref="O13:AS13">
    <cfRule type="cellIs" dxfId="0" priority="5" operator="equal">
      <formula>"S"</formula>
    </cfRule>
  </conditionalFormatting>
  <conditionalFormatting sqref="AX13:CB13">
    <cfRule type="cellIs" dxfId="0" priority="6" operator="equal">
      <formula>"do."</formula>
    </cfRule>
  </conditionalFormatting>
  <conditionalFormatting sqref="AX13:CB13">
    <cfRule type="cellIs" dxfId="0" priority="7" operator="equal">
      <formula>"sá."</formula>
    </cfRule>
  </conditionalFormatting>
  <conditionalFormatting sqref="AX13:CB13">
    <cfRule type="cellIs" dxfId="0" priority="8" operator="equal">
      <formula>"sa."</formula>
    </cfRule>
  </conditionalFormatting>
  <conditionalFormatting sqref="AX13:CB13">
    <cfRule type="cellIs" dxfId="0" priority="9" operator="equal">
      <formula>"D"</formula>
    </cfRule>
  </conditionalFormatting>
  <conditionalFormatting sqref="AX13:CB13">
    <cfRule type="cellIs" dxfId="0" priority="10" operator="equal">
      <formula>"S"</formula>
    </cfRule>
  </conditionalFormatting>
  <dataValidations>
    <dataValidation type="list" allowBlank="1" showErrorMessage="1" sqref="AJ8 AP8:AQ8 BY8:BZ8">
      <formula1>MESES</formula1>
    </dataValidation>
  </dataValidations>
  <printOptions/>
  <pageMargins bottom="0.15748031496062992" footer="0.0" header="0.0" left="0.2755905511811024" right="0.2755905511811024" top="0.31496062992125984"/>
  <pageSetup paperSize="9" scale="66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3" width="14.71"/>
    <col customWidth="1" min="4" max="4" width="31.71"/>
    <col customWidth="1" min="5" max="5" width="24.29"/>
    <col customWidth="1" min="6" max="6" width="55.29"/>
    <col customWidth="1" min="7" max="7" width="29.43"/>
    <col customWidth="1" min="8" max="8" width="6.57"/>
    <col customWidth="1" min="9" max="9" width="44.57"/>
    <col customWidth="1" min="10" max="10" width="37.71"/>
    <col customWidth="1" min="11" max="11" width="40.57"/>
    <col customWidth="1" min="12" max="12" width="8.71"/>
    <col customWidth="1" min="13" max="13" width="13.43"/>
    <col customWidth="1" min="14" max="15" width="23.86"/>
    <col customWidth="1" min="16" max="16" width="12.43"/>
    <col customWidth="1" min="17" max="17" width="14.71"/>
    <col customWidth="1" min="18" max="18" width="15.0"/>
    <col customWidth="1" min="19" max="19" width="15.43"/>
    <col customWidth="1" min="20" max="26" width="10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5"/>
      <c r="U1" s="5"/>
      <c r="V1" s="5"/>
      <c r="W1" s="5"/>
      <c r="X1" s="5"/>
      <c r="Y1" s="5"/>
      <c r="Z1" s="5"/>
    </row>
    <row r="2" ht="14.25" customHeight="1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7" t="s">
        <v>32</v>
      </c>
      <c r="N2" s="7" t="s">
        <v>33</v>
      </c>
      <c r="O2" s="7" t="s">
        <v>34</v>
      </c>
      <c r="P2" s="7" t="s">
        <v>35</v>
      </c>
      <c r="Q2" s="7">
        <v>21.0</v>
      </c>
      <c r="R2" s="7">
        <v>2.0</v>
      </c>
      <c r="S2" s="7">
        <v>3.0</v>
      </c>
      <c r="T2" s="5"/>
      <c r="U2" s="5"/>
      <c r="V2" s="5"/>
      <c r="W2" s="5"/>
      <c r="X2" s="5"/>
      <c r="Y2" s="5"/>
      <c r="Z2" s="5"/>
    </row>
    <row r="3" ht="14.25" customHeight="1">
      <c r="A3" s="7" t="s">
        <v>37</v>
      </c>
      <c r="B3" s="7" t="s">
        <v>38</v>
      </c>
      <c r="C3" s="7" t="s">
        <v>39</v>
      </c>
      <c r="D3" s="7" t="s">
        <v>23</v>
      </c>
      <c r="E3" s="7" t="s">
        <v>24</v>
      </c>
      <c r="F3" s="7" t="s">
        <v>40</v>
      </c>
      <c r="G3" s="7" t="s">
        <v>26</v>
      </c>
      <c r="H3" s="7" t="s">
        <v>41</v>
      </c>
      <c r="I3" s="7" t="s">
        <v>29</v>
      </c>
      <c r="J3" s="7" t="s">
        <v>42</v>
      </c>
      <c r="K3" s="7" t="s">
        <v>31</v>
      </c>
      <c r="L3" s="7" t="s">
        <v>32</v>
      </c>
      <c r="M3" s="7" t="s">
        <v>43</v>
      </c>
      <c r="N3" s="7" t="s">
        <v>33</v>
      </c>
      <c r="O3" s="7" t="s">
        <v>34</v>
      </c>
      <c r="P3" s="7" t="s">
        <v>35</v>
      </c>
      <c r="Q3" s="7">
        <v>39.0</v>
      </c>
      <c r="R3" s="7">
        <v>3.0</v>
      </c>
      <c r="S3" s="7">
        <v>3.0</v>
      </c>
      <c r="T3" s="5"/>
      <c r="U3" s="5"/>
      <c r="V3" s="5"/>
      <c r="W3" s="5"/>
      <c r="X3" s="5"/>
      <c r="Y3" s="5"/>
      <c r="Z3" s="5"/>
    </row>
    <row r="4" ht="14.25" customHeight="1">
      <c r="A4" s="7" t="s">
        <v>47</v>
      </c>
      <c r="B4" s="7" t="s">
        <v>48</v>
      </c>
      <c r="C4" s="7" t="s">
        <v>49</v>
      </c>
      <c r="D4" s="7" t="s">
        <v>23</v>
      </c>
      <c r="E4" s="7" t="s">
        <v>24</v>
      </c>
      <c r="F4" s="7" t="s">
        <v>50</v>
      </c>
      <c r="G4" s="7" t="s">
        <v>26</v>
      </c>
      <c r="H4" s="7" t="s">
        <v>51</v>
      </c>
      <c r="I4" s="7" t="s">
        <v>29</v>
      </c>
      <c r="J4" s="7" t="s">
        <v>52</v>
      </c>
      <c r="K4" s="7" t="s">
        <v>31</v>
      </c>
      <c r="L4" s="7" t="s">
        <v>32</v>
      </c>
      <c r="M4" s="7" t="s">
        <v>55</v>
      </c>
      <c r="N4" s="7" t="s">
        <v>33</v>
      </c>
      <c r="O4" s="7" t="s">
        <v>34</v>
      </c>
      <c r="P4" s="7" t="s">
        <v>35</v>
      </c>
      <c r="Q4" s="7">
        <v>71.0</v>
      </c>
      <c r="R4" s="7">
        <v>4.0</v>
      </c>
      <c r="S4" s="7">
        <v>4.0</v>
      </c>
      <c r="T4" s="5"/>
      <c r="U4" s="5"/>
      <c r="V4" s="5"/>
      <c r="W4" s="5"/>
      <c r="X4" s="5"/>
      <c r="Y4" s="5"/>
      <c r="Z4" s="5"/>
    </row>
    <row r="5" ht="14.25" customHeight="1">
      <c r="A5" s="7" t="s">
        <v>58</v>
      </c>
      <c r="B5" s="7" t="s">
        <v>59</v>
      </c>
      <c r="C5" s="7" t="s">
        <v>60</v>
      </c>
      <c r="D5" s="7" t="s">
        <v>23</v>
      </c>
      <c r="E5" s="7" t="s">
        <v>24</v>
      </c>
      <c r="F5" s="7" t="s">
        <v>61</v>
      </c>
      <c r="G5" s="7" t="s">
        <v>62</v>
      </c>
      <c r="H5" s="7" t="s">
        <v>63</v>
      </c>
      <c r="I5" s="7" t="s">
        <v>29</v>
      </c>
      <c r="J5" s="7" t="s">
        <v>30</v>
      </c>
      <c r="K5" s="7" t="s">
        <v>31</v>
      </c>
      <c r="L5" s="7" t="s">
        <v>32</v>
      </c>
      <c r="M5" s="7" t="s">
        <v>32</v>
      </c>
      <c r="N5" s="7" t="s">
        <v>33</v>
      </c>
      <c r="O5" s="7" t="s">
        <v>34</v>
      </c>
      <c r="P5" s="7" t="s">
        <v>35</v>
      </c>
      <c r="Q5" s="7">
        <v>379.0</v>
      </c>
      <c r="R5" s="7">
        <v>14.0</v>
      </c>
      <c r="S5" s="7">
        <v>14.0</v>
      </c>
      <c r="T5" s="5"/>
      <c r="U5" s="5"/>
      <c r="V5" s="5"/>
      <c r="W5" s="5"/>
      <c r="X5" s="5"/>
      <c r="Y5" s="5"/>
      <c r="Z5" s="5"/>
    </row>
    <row r="6" ht="14.25" customHeight="1">
      <c r="A6" s="7" t="s">
        <v>66</v>
      </c>
      <c r="B6" s="7" t="s">
        <v>68</v>
      </c>
      <c r="C6" s="7" t="s">
        <v>69</v>
      </c>
      <c r="D6" s="7" t="s">
        <v>23</v>
      </c>
      <c r="E6" s="7" t="s">
        <v>24</v>
      </c>
      <c r="F6" s="7" t="s">
        <v>70</v>
      </c>
      <c r="G6" s="7" t="s">
        <v>26</v>
      </c>
      <c r="H6" s="7" t="s">
        <v>63</v>
      </c>
      <c r="I6" s="7" t="s">
        <v>29</v>
      </c>
      <c r="J6" s="7" t="s">
        <v>30</v>
      </c>
      <c r="K6" s="7" t="s">
        <v>31</v>
      </c>
      <c r="L6" s="7" t="s">
        <v>32</v>
      </c>
      <c r="M6" s="7" t="s">
        <v>32</v>
      </c>
      <c r="N6" s="7" t="s">
        <v>33</v>
      </c>
      <c r="O6" s="7" t="s">
        <v>34</v>
      </c>
      <c r="P6" s="7" t="s">
        <v>35</v>
      </c>
      <c r="Q6" s="7">
        <v>153.0</v>
      </c>
      <c r="R6" s="7">
        <v>8.0</v>
      </c>
      <c r="S6" s="7">
        <v>8.0</v>
      </c>
      <c r="T6" s="5"/>
      <c r="U6" s="5"/>
      <c r="V6" s="5"/>
      <c r="W6" s="5"/>
      <c r="X6" s="5"/>
      <c r="Y6" s="5"/>
      <c r="Z6" s="5"/>
    </row>
    <row r="7" ht="14.25" customHeight="1">
      <c r="A7" s="7" t="s">
        <v>72</v>
      </c>
      <c r="B7" s="7" t="s">
        <v>73</v>
      </c>
      <c r="C7" s="7" t="s">
        <v>74</v>
      </c>
      <c r="D7" s="7" t="s">
        <v>23</v>
      </c>
      <c r="E7" s="7" t="s">
        <v>24</v>
      </c>
      <c r="F7" s="7" t="s">
        <v>75</v>
      </c>
      <c r="G7" s="7" t="s">
        <v>26</v>
      </c>
      <c r="H7" s="7" t="s">
        <v>76</v>
      </c>
      <c r="I7" s="7" t="s">
        <v>29</v>
      </c>
      <c r="J7" s="7" t="s">
        <v>77</v>
      </c>
      <c r="K7" s="7" t="s">
        <v>31</v>
      </c>
      <c r="L7" s="7" t="s">
        <v>32</v>
      </c>
      <c r="M7" s="7" t="s">
        <v>78</v>
      </c>
      <c r="N7" s="7" t="s">
        <v>33</v>
      </c>
      <c r="O7" s="7" t="s">
        <v>34</v>
      </c>
      <c r="P7" s="7" t="s">
        <v>35</v>
      </c>
      <c r="Q7" s="7">
        <v>55.0</v>
      </c>
      <c r="R7" s="7">
        <v>3.0</v>
      </c>
      <c r="S7" s="7">
        <v>3.0</v>
      </c>
      <c r="T7" s="5"/>
      <c r="U7" s="5"/>
      <c r="V7" s="5"/>
      <c r="W7" s="5"/>
      <c r="X7" s="5"/>
      <c r="Y7" s="5"/>
      <c r="Z7" s="5"/>
    </row>
    <row r="8" ht="14.25" customHeight="1">
      <c r="A8" s="7" t="s">
        <v>79</v>
      </c>
      <c r="B8" s="7" t="s">
        <v>80</v>
      </c>
      <c r="C8" s="7" t="s">
        <v>81</v>
      </c>
      <c r="D8" s="7" t="s">
        <v>23</v>
      </c>
      <c r="E8" s="7" t="s">
        <v>24</v>
      </c>
      <c r="F8" s="7" t="s">
        <v>25</v>
      </c>
      <c r="G8" s="7" t="s">
        <v>26</v>
      </c>
      <c r="H8" s="7" t="s">
        <v>82</v>
      </c>
      <c r="I8" s="7" t="s">
        <v>83</v>
      </c>
      <c r="J8" s="7" t="s">
        <v>84</v>
      </c>
      <c r="K8" s="7" t="s">
        <v>31</v>
      </c>
      <c r="L8" s="7" t="s">
        <v>32</v>
      </c>
      <c r="M8" s="7" t="s">
        <v>85</v>
      </c>
      <c r="N8" s="7" t="s">
        <v>33</v>
      </c>
      <c r="O8" s="7" t="s">
        <v>34</v>
      </c>
      <c r="P8" s="7" t="s">
        <v>35</v>
      </c>
      <c r="Q8" s="7">
        <v>15.0</v>
      </c>
      <c r="R8" s="7">
        <v>1.0</v>
      </c>
      <c r="S8" s="7">
        <v>3.0</v>
      </c>
      <c r="T8" s="5"/>
      <c r="U8" s="5"/>
      <c r="V8" s="5"/>
      <c r="W8" s="5"/>
      <c r="X8" s="5"/>
      <c r="Y8" s="5"/>
      <c r="Z8" s="5"/>
    </row>
    <row r="9" ht="14.25" customHeight="1">
      <c r="A9" s="7" t="s">
        <v>86</v>
      </c>
      <c r="B9" s="7" t="s">
        <v>87</v>
      </c>
      <c r="C9" s="7" t="s">
        <v>88</v>
      </c>
      <c r="D9" s="7" t="s">
        <v>23</v>
      </c>
      <c r="E9" s="7" t="s">
        <v>24</v>
      </c>
      <c r="F9" s="7" t="s">
        <v>89</v>
      </c>
      <c r="G9" s="7" t="s">
        <v>26</v>
      </c>
      <c r="H9" s="7" t="s">
        <v>63</v>
      </c>
      <c r="I9" s="7" t="s">
        <v>29</v>
      </c>
      <c r="J9" s="7" t="s">
        <v>30</v>
      </c>
      <c r="K9" s="7" t="s">
        <v>31</v>
      </c>
      <c r="L9" s="7" t="s">
        <v>32</v>
      </c>
      <c r="M9" s="7" t="s">
        <v>32</v>
      </c>
      <c r="N9" s="7" t="s">
        <v>33</v>
      </c>
      <c r="O9" s="7" t="s">
        <v>34</v>
      </c>
      <c r="P9" s="7" t="s">
        <v>35</v>
      </c>
      <c r="Q9" s="7">
        <v>375.0</v>
      </c>
      <c r="R9" s="7">
        <v>16.0</v>
      </c>
      <c r="S9" s="7">
        <v>15.0</v>
      </c>
      <c r="T9" s="5"/>
      <c r="U9" s="5"/>
      <c r="V9" s="5"/>
      <c r="W9" s="5"/>
      <c r="X9" s="5"/>
      <c r="Y9" s="5"/>
      <c r="Z9" s="5"/>
    </row>
    <row r="10" ht="14.25" customHeight="1">
      <c r="A10" s="7" t="s">
        <v>90</v>
      </c>
      <c r="B10" s="7" t="s">
        <v>91</v>
      </c>
      <c r="C10" s="7" t="s">
        <v>92</v>
      </c>
      <c r="D10" s="7" t="s">
        <v>23</v>
      </c>
      <c r="E10" s="7" t="s">
        <v>24</v>
      </c>
      <c r="F10" s="7" t="s">
        <v>93</v>
      </c>
      <c r="G10" s="7" t="s">
        <v>26</v>
      </c>
      <c r="H10" s="7" t="s">
        <v>94</v>
      </c>
      <c r="I10" s="7" t="s">
        <v>29</v>
      </c>
      <c r="J10" s="7" t="s">
        <v>95</v>
      </c>
      <c r="K10" s="7" t="s">
        <v>31</v>
      </c>
      <c r="L10" s="7" t="s">
        <v>32</v>
      </c>
      <c r="M10" s="7" t="s">
        <v>96</v>
      </c>
      <c r="N10" s="7" t="s">
        <v>33</v>
      </c>
      <c r="O10" s="7" t="s">
        <v>34</v>
      </c>
      <c r="P10" s="7" t="s">
        <v>35</v>
      </c>
      <c r="Q10" s="7">
        <v>49.0</v>
      </c>
      <c r="R10" s="7">
        <v>3.0</v>
      </c>
      <c r="S10" s="7">
        <v>3.0</v>
      </c>
      <c r="T10" s="5"/>
      <c r="U10" s="5"/>
      <c r="V10" s="5"/>
      <c r="W10" s="5"/>
      <c r="X10" s="5"/>
      <c r="Y10" s="5"/>
      <c r="Z10" s="5"/>
    </row>
    <row r="11" ht="14.25" customHeight="1">
      <c r="A11" s="7" t="s">
        <v>97</v>
      </c>
      <c r="B11" s="7" t="s">
        <v>98</v>
      </c>
      <c r="C11" s="7" t="s">
        <v>99</v>
      </c>
      <c r="D11" s="7" t="s">
        <v>23</v>
      </c>
      <c r="E11" s="7" t="s">
        <v>24</v>
      </c>
      <c r="F11" s="7" t="s">
        <v>102</v>
      </c>
      <c r="G11" s="7" t="s">
        <v>26</v>
      </c>
      <c r="H11" s="7" t="s">
        <v>104</v>
      </c>
      <c r="I11" s="7" t="s">
        <v>29</v>
      </c>
      <c r="J11" s="7" t="s">
        <v>95</v>
      </c>
      <c r="K11" s="7" t="s">
        <v>31</v>
      </c>
      <c r="L11" s="7" t="s">
        <v>32</v>
      </c>
      <c r="M11" s="7" t="s">
        <v>96</v>
      </c>
      <c r="N11" s="7" t="s">
        <v>33</v>
      </c>
      <c r="O11" s="7" t="s">
        <v>34</v>
      </c>
      <c r="P11" s="7" t="s">
        <v>35</v>
      </c>
      <c r="Q11" s="7">
        <v>11.0</v>
      </c>
      <c r="R11" s="7">
        <v>1.0</v>
      </c>
      <c r="S11" s="7">
        <v>3.0</v>
      </c>
      <c r="T11" s="5"/>
      <c r="U11" s="5"/>
      <c r="V11" s="5"/>
      <c r="W11" s="5"/>
      <c r="X11" s="5"/>
      <c r="Y11" s="5"/>
      <c r="Z11" s="5"/>
    </row>
    <row r="12" ht="14.25" customHeight="1">
      <c r="A12" s="7" t="s">
        <v>106</v>
      </c>
      <c r="B12" s="7" t="s">
        <v>107</v>
      </c>
      <c r="C12" s="7" t="s">
        <v>108</v>
      </c>
      <c r="D12" s="7" t="s">
        <v>23</v>
      </c>
      <c r="E12" s="7" t="s">
        <v>24</v>
      </c>
      <c r="F12" s="7" t="s">
        <v>110</v>
      </c>
      <c r="G12" s="7" t="s">
        <v>26</v>
      </c>
      <c r="H12" s="7" t="s">
        <v>111</v>
      </c>
      <c r="I12" s="7" t="s">
        <v>29</v>
      </c>
      <c r="J12" s="7" t="s">
        <v>112</v>
      </c>
      <c r="K12" s="7" t="s">
        <v>31</v>
      </c>
      <c r="L12" s="7" t="s">
        <v>32</v>
      </c>
      <c r="M12" s="7" t="s">
        <v>113</v>
      </c>
      <c r="N12" s="7" t="s">
        <v>33</v>
      </c>
      <c r="O12" s="7" t="s">
        <v>34</v>
      </c>
      <c r="P12" s="7" t="s">
        <v>35</v>
      </c>
      <c r="Q12" s="7">
        <v>175.0</v>
      </c>
      <c r="R12" s="7">
        <v>9.0</v>
      </c>
      <c r="S12" s="7">
        <v>8.0</v>
      </c>
      <c r="T12" s="5"/>
      <c r="U12" s="5"/>
      <c r="V12" s="5"/>
      <c r="W12" s="5"/>
      <c r="X12" s="5"/>
      <c r="Y12" s="5"/>
      <c r="Z12" s="5"/>
    </row>
    <row r="13" ht="14.25" customHeight="1">
      <c r="A13" s="7" t="s">
        <v>114</v>
      </c>
      <c r="B13" s="7" t="s">
        <v>115</v>
      </c>
      <c r="C13" s="7" t="s">
        <v>116</v>
      </c>
      <c r="D13" s="7" t="s">
        <v>23</v>
      </c>
      <c r="E13" s="7" t="s">
        <v>24</v>
      </c>
      <c r="F13" s="7" t="s">
        <v>117</v>
      </c>
      <c r="G13" s="7" t="s">
        <v>26</v>
      </c>
      <c r="H13" s="7" t="s">
        <v>119</v>
      </c>
      <c r="I13" s="7" t="s">
        <v>29</v>
      </c>
      <c r="J13" s="7" t="s">
        <v>120</v>
      </c>
      <c r="K13" s="7" t="s">
        <v>31</v>
      </c>
      <c r="L13" s="7" t="s">
        <v>32</v>
      </c>
      <c r="M13" s="7" t="s">
        <v>121</v>
      </c>
      <c r="N13" s="7" t="s">
        <v>33</v>
      </c>
      <c r="O13" s="7" t="s">
        <v>34</v>
      </c>
      <c r="P13" s="7" t="s">
        <v>35</v>
      </c>
      <c r="Q13" s="7">
        <v>118.0</v>
      </c>
      <c r="R13" s="7">
        <v>6.0</v>
      </c>
      <c r="S13" s="7">
        <v>6.0</v>
      </c>
      <c r="T13" s="5"/>
      <c r="U13" s="5"/>
      <c r="V13" s="5"/>
      <c r="W13" s="5"/>
      <c r="X13" s="5"/>
      <c r="Y13" s="5"/>
      <c r="Z13" s="5"/>
    </row>
    <row r="14" ht="14.25" customHeight="1">
      <c r="A14" s="7" t="s">
        <v>122</v>
      </c>
      <c r="B14" s="7" t="s">
        <v>123</v>
      </c>
      <c r="C14" s="7" t="s">
        <v>124</v>
      </c>
      <c r="D14" s="7" t="s">
        <v>23</v>
      </c>
      <c r="E14" s="7" t="s">
        <v>24</v>
      </c>
      <c r="F14" s="7" t="s">
        <v>125</v>
      </c>
      <c r="G14" s="7" t="s">
        <v>26</v>
      </c>
      <c r="H14" s="7" t="s">
        <v>126</v>
      </c>
      <c r="I14" s="7" t="s">
        <v>29</v>
      </c>
      <c r="J14" s="7" t="s">
        <v>127</v>
      </c>
      <c r="K14" s="7" t="s">
        <v>31</v>
      </c>
      <c r="L14" s="7" t="s">
        <v>32</v>
      </c>
      <c r="M14" s="7" t="s">
        <v>128</v>
      </c>
      <c r="N14" s="7" t="s">
        <v>33</v>
      </c>
      <c r="O14" s="7" t="s">
        <v>34</v>
      </c>
      <c r="P14" s="7" t="s">
        <v>35</v>
      </c>
      <c r="Q14" s="7">
        <v>117.0</v>
      </c>
      <c r="R14" s="7">
        <v>4.0</v>
      </c>
      <c r="S14" s="7">
        <v>5.0</v>
      </c>
      <c r="T14" s="5"/>
      <c r="U14" s="5"/>
      <c r="V14" s="5"/>
      <c r="W14" s="5"/>
      <c r="X14" s="5"/>
      <c r="Y14" s="5"/>
      <c r="Z14" s="5"/>
    </row>
    <row r="15" ht="14.25" customHeight="1">
      <c r="A15" s="7" t="s">
        <v>129</v>
      </c>
      <c r="B15" s="7" t="s">
        <v>130</v>
      </c>
      <c r="C15" s="7" t="s">
        <v>131</v>
      </c>
      <c r="D15" s="7" t="s">
        <v>23</v>
      </c>
      <c r="E15" s="7" t="s">
        <v>24</v>
      </c>
      <c r="F15" s="7" t="s">
        <v>133</v>
      </c>
      <c r="G15" s="7" t="s">
        <v>134</v>
      </c>
      <c r="H15" s="7" t="s">
        <v>135</v>
      </c>
      <c r="I15" s="7" t="s">
        <v>83</v>
      </c>
      <c r="J15" s="7" t="s">
        <v>120</v>
      </c>
      <c r="K15" s="7" t="s">
        <v>31</v>
      </c>
      <c r="L15" s="7" t="s">
        <v>32</v>
      </c>
      <c r="M15" s="7" t="s">
        <v>121</v>
      </c>
      <c r="N15" s="7" t="s">
        <v>33</v>
      </c>
      <c r="O15" s="7" t="s">
        <v>34</v>
      </c>
      <c r="P15" s="7" t="s">
        <v>35</v>
      </c>
      <c r="Q15" s="7">
        <v>15.0</v>
      </c>
      <c r="R15" s="7">
        <v>1.0</v>
      </c>
      <c r="S15" s="7">
        <v>3.0</v>
      </c>
      <c r="T15" s="5"/>
      <c r="U15" s="5"/>
      <c r="V15" s="5"/>
      <c r="W15" s="5"/>
      <c r="X15" s="5"/>
      <c r="Y15" s="5"/>
      <c r="Z15" s="5"/>
    </row>
    <row r="16" ht="14.25" customHeight="1">
      <c r="A16" s="7" t="s">
        <v>136</v>
      </c>
      <c r="B16" s="7" t="s">
        <v>137</v>
      </c>
      <c r="C16" s="7" t="s">
        <v>138</v>
      </c>
      <c r="D16" s="7" t="s">
        <v>23</v>
      </c>
      <c r="E16" s="7" t="s">
        <v>24</v>
      </c>
      <c r="F16" s="7" t="s">
        <v>139</v>
      </c>
      <c r="G16" s="7" t="s">
        <v>26</v>
      </c>
      <c r="H16" s="7" t="s">
        <v>140</v>
      </c>
      <c r="I16" s="7" t="s">
        <v>29</v>
      </c>
      <c r="J16" s="7" t="s">
        <v>120</v>
      </c>
      <c r="K16" s="7" t="s">
        <v>31</v>
      </c>
      <c r="L16" s="7" t="s">
        <v>32</v>
      </c>
      <c r="M16" s="7" t="s">
        <v>121</v>
      </c>
      <c r="N16" s="7" t="s">
        <v>33</v>
      </c>
      <c r="O16" s="7" t="s">
        <v>34</v>
      </c>
      <c r="P16" s="7" t="s">
        <v>35</v>
      </c>
      <c r="Q16" s="7">
        <v>52.0</v>
      </c>
      <c r="R16" s="7">
        <v>3.0</v>
      </c>
      <c r="S16" s="7">
        <v>3.0</v>
      </c>
      <c r="T16" s="5"/>
      <c r="U16" s="5"/>
      <c r="V16" s="5"/>
      <c r="W16" s="5"/>
      <c r="X16" s="5"/>
      <c r="Y16" s="5"/>
      <c r="Z16" s="5"/>
    </row>
    <row r="17" ht="14.25" customHeight="1">
      <c r="A17" s="7" t="s">
        <v>141</v>
      </c>
      <c r="B17" s="7" t="s">
        <v>142</v>
      </c>
      <c r="C17" s="7" t="s">
        <v>143</v>
      </c>
      <c r="D17" s="7" t="s">
        <v>23</v>
      </c>
      <c r="E17" s="7" t="s">
        <v>24</v>
      </c>
      <c r="F17" s="7" t="s">
        <v>25</v>
      </c>
      <c r="G17" s="7" t="s">
        <v>26</v>
      </c>
      <c r="H17" s="7" t="s">
        <v>144</v>
      </c>
      <c r="I17" s="7" t="s">
        <v>29</v>
      </c>
      <c r="J17" s="7" t="s">
        <v>112</v>
      </c>
      <c r="K17" s="7" t="s">
        <v>31</v>
      </c>
      <c r="L17" s="7" t="s">
        <v>32</v>
      </c>
      <c r="M17" s="7" t="s">
        <v>113</v>
      </c>
      <c r="N17" s="7" t="s">
        <v>33</v>
      </c>
      <c r="O17" s="7" t="s">
        <v>34</v>
      </c>
      <c r="P17" s="7" t="s">
        <v>35</v>
      </c>
      <c r="Q17" s="7">
        <v>100.0</v>
      </c>
      <c r="R17" s="7">
        <v>4.0</v>
      </c>
      <c r="S17" s="7">
        <v>4.0</v>
      </c>
      <c r="T17" s="5"/>
      <c r="U17" s="5"/>
      <c r="V17" s="5"/>
      <c r="W17" s="5"/>
      <c r="X17" s="5"/>
      <c r="Y17" s="5"/>
      <c r="Z17" s="5"/>
    </row>
    <row r="18" ht="14.25" customHeight="1">
      <c r="A18" s="7" t="s">
        <v>147</v>
      </c>
      <c r="B18" s="7" t="s">
        <v>148</v>
      </c>
      <c r="C18" s="7" t="s">
        <v>149</v>
      </c>
      <c r="D18" s="7" t="s">
        <v>23</v>
      </c>
      <c r="E18" s="7" t="s">
        <v>24</v>
      </c>
      <c r="F18" s="7" t="s">
        <v>150</v>
      </c>
      <c r="G18" s="7" t="s">
        <v>26</v>
      </c>
      <c r="H18" s="7" t="s">
        <v>150</v>
      </c>
      <c r="I18" s="7" t="s">
        <v>83</v>
      </c>
      <c r="J18" s="7" t="s">
        <v>120</v>
      </c>
      <c r="K18" s="7" t="s">
        <v>31</v>
      </c>
      <c r="L18" s="7" t="s">
        <v>32</v>
      </c>
      <c r="M18" s="7" t="s">
        <v>121</v>
      </c>
      <c r="N18" s="7" t="s">
        <v>33</v>
      </c>
      <c r="O18" s="7" t="s">
        <v>34</v>
      </c>
      <c r="P18" s="7" t="s">
        <v>35</v>
      </c>
      <c r="Q18" s="7">
        <v>32.0</v>
      </c>
      <c r="R18" s="7">
        <v>2.0</v>
      </c>
      <c r="S18" s="7">
        <v>3.0</v>
      </c>
      <c r="T18" s="5"/>
      <c r="U18" s="5"/>
      <c r="V18" s="5"/>
      <c r="W18" s="5"/>
      <c r="X18" s="5"/>
      <c r="Y18" s="5"/>
      <c r="Z18" s="5"/>
    </row>
    <row r="19" ht="14.25" customHeight="1">
      <c r="A19" s="7" t="s">
        <v>151</v>
      </c>
      <c r="B19" s="7" t="s">
        <v>152</v>
      </c>
      <c r="C19" s="7" t="s">
        <v>153</v>
      </c>
      <c r="D19" s="7" t="s">
        <v>23</v>
      </c>
      <c r="E19" s="7" t="s">
        <v>24</v>
      </c>
      <c r="F19" s="7" t="s">
        <v>155</v>
      </c>
      <c r="G19" s="7" t="s">
        <v>26</v>
      </c>
      <c r="H19" s="7" t="s">
        <v>156</v>
      </c>
      <c r="I19" s="7" t="s">
        <v>29</v>
      </c>
      <c r="J19" s="7" t="s">
        <v>84</v>
      </c>
      <c r="K19" s="7" t="s">
        <v>31</v>
      </c>
      <c r="L19" s="7" t="s">
        <v>32</v>
      </c>
      <c r="M19" s="7" t="s">
        <v>85</v>
      </c>
      <c r="N19" s="7" t="s">
        <v>33</v>
      </c>
      <c r="O19" s="7" t="s">
        <v>34</v>
      </c>
      <c r="P19" s="7" t="s">
        <v>35</v>
      </c>
      <c r="Q19" s="7">
        <v>11.0</v>
      </c>
      <c r="R19" s="7">
        <v>1.0</v>
      </c>
      <c r="S19" s="7">
        <v>3.0</v>
      </c>
      <c r="T19" s="5"/>
      <c r="U19" s="5"/>
      <c r="V19" s="5"/>
      <c r="W19" s="5"/>
      <c r="X19" s="5"/>
      <c r="Y19" s="5"/>
      <c r="Z19" s="5"/>
    </row>
    <row r="20" ht="14.25" customHeight="1">
      <c r="A20" s="7" t="s">
        <v>157</v>
      </c>
      <c r="B20" s="7" t="s">
        <v>158</v>
      </c>
      <c r="C20" s="7" t="s">
        <v>159</v>
      </c>
      <c r="D20" s="7" t="s">
        <v>23</v>
      </c>
      <c r="E20" s="7" t="s">
        <v>24</v>
      </c>
      <c r="F20" s="7" t="s">
        <v>161</v>
      </c>
      <c r="G20" s="7" t="s">
        <v>161</v>
      </c>
      <c r="H20" s="7" t="s">
        <v>161</v>
      </c>
      <c r="I20" s="7" t="s">
        <v>29</v>
      </c>
      <c r="J20" s="7" t="s">
        <v>162</v>
      </c>
      <c r="K20" s="7" t="s">
        <v>31</v>
      </c>
      <c r="L20" s="7" t="s">
        <v>32</v>
      </c>
      <c r="M20" s="7" t="s">
        <v>163</v>
      </c>
      <c r="N20" s="7" t="s">
        <v>33</v>
      </c>
      <c r="O20" s="7" t="s">
        <v>34</v>
      </c>
      <c r="P20" s="7" t="s">
        <v>35</v>
      </c>
      <c r="Q20" s="7">
        <v>37.0</v>
      </c>
      <c r="R20" s="7">
        <v>3.0</v>
      </c>
      <c r="S20" s="7">
        <v>3.0</v>
      </c>
      <c r="T20" s="5"/>
      <c r="U20" s="5"/>
      <c r="V20" s="5"/>
      <c r="W20" s="5"/>
      <c r="X20" s="5"/>
      <c r="Y20" s="5"/>
      <c r="Z20" s="5"/>
    </row>
    <row r="21" ht="14.25" customHeight="1">
      <c r="A21" s="7" t="s">
        <v>164</v>
      </c>
      <c r="B21" s="7" t="s">
        <v>165</v>
      </c>
      <c r="C21" s="7" t="s">
        <v>166</v>
      </c>
      <c r="D21" s="7" t="s">
        <v>23</v>
      </c>
      <c r="E21" s="7" t="s">
        <v>24</v>
      </c>
      <c r="F21" s="7" t="s">
        <v>167</v>
      </c>
      <c r="G21" s="7" t="s">
        <v>167</v>
      </c>
      <c r="H21" s="7" t="s">
        <v>167</v>
      </c>
      <c r="I21" s="7" t="s">
        <v>29</v>
      </c>
      <c r="J21" s="7" t="s">
        <v>168</v>
      </c>
      <c r="K21" s="7" t="s">
        <v>31</v>
      </c>
      <c r="L21" s="7" t="s">
        <v>32</v>
      </c>
      <c r="M21" s="7" t="s">
        <v>169</v>
      </c>
      <c r="N21" s="7" t="s">
        <v>33</v>
      </c>
      <c r="O21" s="7" t="s">
        <v>34</v>
      </c>
      <c r="P21" s="7" t="s">
        <v>35</v>
      </c>
      <c r="Q21" s="7">
        <v>42.0</v>
      </c>
      <c r="R21" s="7">
        <v>2.0</v>
      </c>
      <c r="S21" s="7">
        <v>3.0</v>
      </c>
      <c r="T21" s="5"/>
      <c r="U21" s="5"/>
      <c r="V21" s="5"/>
      <c r="W21" s="5"/>
      <c r="X21" s="5"/>
      <c r="Y21" s="5"/>
      <c r="Z21" s="5"/>
    </row>
    <row r="22" ht="14.25" customHeight="1">
      <c r="A22" s="7" t="s">
        <v>170</v>
      </c>
      <c r="B22" s="7" t="s">
        <v>171</v>
      </c>
      <c r="C22" s="7" t="s">
        <v>172</v>
      </c>
      <c r="D22" s="7" t="s">
        <v>23</v>
      </c>
      <c r="E22" s="7" t="s">
        <v>24</v>
      </c>
      <c r="F22" s="7" t="s">
        <v>173</v>
      </c>
      <c r="G22" s="7" t="s">
        <v>26</v>
      </c>
      <c r="H22" s="7" t="s">
        <v>173</v>
      </c>
      <c r="I22" s="7" t="s">
        <v>83</v>
      </c>
      <c r="J22" s="7" t="s">
        <v>84</v>
      </c>
      <c r="K22" s="7" t="s">
        <v>31</v>
      </c>
      <c r="L22" s="7" t="s">
        <v>32</v>
      </c>
      <c r="M22" s="7" t="s">
        <v>85</v>
      </c>
      <c r="N22" s="7" t="s">
        <v>33</v>
      </c>
      <c r="O22" s="7" t="s">
        <v>34</v>
      </c>
      <c r="P22" s="7" t="s">
        <v>35</v>
      </c>
      <c r="Q22" s="7">
        <v>25.0</v>
      </c>
      <c r="R22" s="7">
        <v>2.0</v>
      </c>
      <c r="S22" s="7">
        <v>3.0</v>
      </c>
      <c r="T22" s="5"/>
      <c r="U22" s="5"/>
      <c r="V22" s="5"/>
      <c r="W22" s="5"/>
      <c r="X22" s="5"/>
      <c r="Y22" s="5"/>
      <c r="Z22" s="5"/>
    </row>
    <row r="23" ht="14.25" customHeight="1">
      <c r="A23" s="7" t="s">
        <v>175</v>
      </c>
      <c r="B23" s="7" t="s">
        <v>176</v>
      </c>
      <c r="C23" s="7" t="s">
        <v>177</v>
      </c>
      <c r="D23" s="7" t="s">
        <v>23</v>
      </c>
      <c r="E23" s="7" t="s">
        <v>24</v>
      </c>
      <c r="F23" s="7" t="s">
        <v>178</v>
      </c>
      <c r="G23" s="7" t="s">
        <v>26</v>
      </c>
      <c r="H23" s="7" t="s">
        <v>178</v>
      </c>
      <c r="I23" s="7" t="s">
        <v>83</v>
      </c>
      <c r="J23" s="7" t="s">
        <v>179</v>
      </c>
      <c r="K23" s="7" t="s">
        <v>31</v>
      </c>
      <c r="L23" s="7" t="s">
        <v>32</v>
      </c>
      <c r="M23" s="7" t="s">
        <v>180</v>
      </c>
      <c r="N23" s="7" t="s">
        <v>33</v>
      </c>
      <c r="O23" s="7" t="s">
        <v>34</v>
      </c>
      <c r="P23" s="7" t="s">
        <v>35</v>
      </c>
      <c r="Q23" s="7">
        <v>20.0</v>
      </c>
      <c r="R23" s="7">
        <v>1.0</v>
      </c>
      <c r="S23" s="7">
        <v>3.0</v>
      </c>
      <c r="T23" s="5"/>
      <c r="U23" s="5"/>
      <c r="V23" s="5"/>
      <c r="W23" s="5"/>
      <c r="X23" s="5"/>
      <c r="Y23" s="5"/>
      <c r="Z23" s="5"/>
    </row>
    <row r="24" ht="14.25" customHeight="1">
      <c r="A24" s="7" t="s">
        <v>182</v>
      </c>
      <c r="B24" s="7" t="s">
        <v>184</v>
      </c>
      <c r="C24" s="7" t="s">
        <v>185</v>
      </c>
      <c r="D24" s="7" t="s">
        <v>23</v>
      </c>
      <c r="E24" s="7" t="s">
        <v>24</v>
      </c>
      <c r="F24" s="7" t="s">
        <v>186</v>
      </c>
      <c r="G24" s="7" t="s">
        <v>26</v>
      </c>
      <c r="H24" s="7" t="s">
        <v>187</v>
      </c>
      <c r="I24" s="7" t="s">
        <v>83</v>
      </c>
      <c r="J24" s="7" t="s">
        <v>95</v>
      </c>
      <c r="K24" s="7" t="s">
        <v>31</v>
      </c>
      <c r="L24" s="7" t="s">
        <v>32</v>
      </c>
      <c r="M24" s="7" t="s">
        <v>96</v>
      </c>
      <c r="N24" s="7" t="s">
        <v>33</v>
      </c>
      <c r="O24" s="7" t="s">
        <v>34</v>
      </c>
      <c r="P24" s="7" t="s">
        <v>35</v>
      </c>
      <c r="Q24" s="7">
        <v>5.0</v>
      </c>
      <c r="R24" s="7">
        <v>1.0</v>
      </c>
      <c r="S24" s="7">
        <v>3.0</v>
      </c>
      <c r="T24" s="5"/>
      <c r="U24" s="5"/>
      <c r="V24" s="5"/>
      <c r="W24" s="5"/>
      <c r="X24" s="5"/>
      <c r="Y24" s="5"/>
      <c r="Z24" s="5"/>
    </row>
    <row r="25" ht="14.25" customHeight="1">
      <c r="A25" s="7" t="s">
        <v>189</v>
      </c>
      <c r="B25" s="7" t="s">
        <v>190</v>
      </c>
      <c r="C25" s="7" t="s">
        <v>191</v>
      </c>
      <c r="D25" s="7" t="s">
        <v>23</v>
      </c>
      <c r="E25" s="7" t="s">
        <v>192</v>
      </c>
      <c r="F25" s="7" t="s">
        <v>193</v>
      </c>
      <c r="G25" s="7" t="s">
        <v>26</v>
      </c>
      <c r="H25" s="7" t="s">
        <v>63</v>
      </c>
      <c r="I25" s="7" t="s">
        <v>29</v>
      </c>
      <c r="J25" s="7" t="s">
        <v>30</v>
      </c>
      <c r="K25" s="7" t="s">
        <v>31</v>
      </c>
      <c r="L25" s="7" t="s">
        <v>32</v>
      </c>
      <c r="M25" s="7" t="s">
        <v>32</v>
      </c>
      <c r="N25" s="7" t="s">
        <v>33</v>
      </c>
      <c r="O25" s="7" t="s">
        <v>34</v>
      </c>
      <c r="P25" s="7" t="s">
        <v>35</v>
      </c>
      <c r="Q25" s="7">
        <v>32.0</v>
      </c>
      <c r="R25" s="7">
        <v>5.0</v>
      </c>
      <c r="S25" s="7">
        <v>3.0</v>
      </c>
      <c r="T25" s="5"/>
      <c r="U25" s="5"/>
      <c r="V25" s="5"/>
      <c r="W25" s="5"/>
      <c r="X25" s="5"/>
      <c r="Y25" s="5"/>
      <c r="Z25" s="5"/>
    </row>
    <row r="26" ht="14.25" customHeight="1">
      <c r="A26" s="7" t="s">
        <v>194</v>
      </c>
      <c r="B26" s="7" t="s">
        <v>195</v>
      </c>
      <c r="C26" s="7" t="s">
        <v>196</v>
      </c>
      <c r="D26" s="7" t="s">
        <v>23</v>
      </c>
      <c r="E26" s="7" t="s">
        <v>24</v>
      </c>
      <c r="F26" s="7" t="s">
        <v>197</v>
      </c>
      <c r="G26" s="7" t="s">
        <v>26</v>
      </c>
      <c r="H26" s="7" t="s">
        <v>63</v>
      </c>
      <c r="I26" s="7" t="s">
        <v>29</v>
      </c>
      <c r="J26" s="7" t="s">
        <v>30</v>
      </c>
      <c r="K26" s="7" t="s">
        <v>31</v>
      </c>
      <c r="L26" s="7" t="s">
        <v>32</v>
      </c>
      <c r="M26" s="7" t="s">
        <v>32</v>
      </c>
      <c r="N26" s="7" t="s">
        <v>33</v>
      </c>
      <c r="O26" s="7" t="s">
        <v>34</v>
      </c>
      <c r="P26" s="7" t="s">
        <v>35</v>
      </c>
      <c r="Q26" s="7">
        <v>212.0</v>
      </c>
      <c r="R26" s="7">
        <v>8.0</v>
      </c>
      <c r="S26" s="7">
        <v>8.0</v>
      </c>
      <c r="T26" s="5"/>
      <c r="U26" s="5"/>
      <c r="V26" s="5"/>
      <c r="W26" s="5"/>
      <c r="X26" s="5"/>
      <c r="Y26" s="5"/>
      <c r="Z26" s="5"/>
    </row>
    <row r="27" ht="14.25" customHeight="1">
      <c r="A27" s="7" t="s">
        <v>198</v>
      </c>
      <c r="B27" s="7" t="s">
        <v>199</v>
      </c>
      <c r="C27" s="7" t="s">
        <v>200</v>
      </c>
      <c r="D27" s="7" t="s">
        <v>23</v>
      </c>
      <c r="E27" s="7" t="s">
        <v>24</v>
      </c>
      <c r="F27" s="7" t="s">
        <v>201</v>
      </c>
      <c r="G27" s="7" t="s">
        <v>26</v>
      </c>
      <c r="H27" s="7" t="s">
        <v>202</v>
      </c>
      <c r="I27" s="7" t="s">
        <v>83</v>
      </c>
      <c r="J27" s="7" t="s">
        <v>84</v>
      </c>
      <c r="K27" s="7" t="s">
        <v>31</v>
      </c>
      <c r="L27" s="7" t="s">
        <v>32</v>
      </c>
      <c r="M27" s="7" t="s">
        <v>85</v>
      </c>
      <c r="N27" s="7" t="s">
        <v>33</v>
      </c>
      <c r="O27" s="7" t="s">
        <v>34</v>
      </c>
      <c r="P27" s="7" t="s">
        <v>35</v>
      </c>
      <c r="Q27" s="7">
        <v>10.0</v>
      </c>
      <c r="R27" s="7">
        <v>1.0</v>
      </c>
      <c r="S27" s="7">
        <v>3.0</v>
      </c>
      <c r="T27" s="5"/>
      <c r="U27" s="5"/>
      <c r="V27" s="5"/>
      <c r="W27" s="5"/>
      <c r="X27" s="5"/>
      <c r="Y27" s="5"/>
      <c r="Z27" s="5"/>
    </row>
    <row r="28" ht="14.25" customHeight="1">
      <c r="A28" s="7" t="s">
        <v>203</v>
      </c>
      <c r="B28" s="7" t="s">
        <v>204</v>
      </c>
      <c r="C28" s="7" t="s">
        <v>205</v>
      </c>
      <c r="D28" s="7" t="s">
        <v>23</v>
      </c>
      <c r="E28" s="7" t="s">
        <v>24</v>
      </c>
      <c r="F28" s="7" t="s">
        <v>206</v>
      </c>
      <c r="G28" s="7" t="s">
        <v>26</v>
      </c>
      <c r="H28" s="7" t="s">
        <v>206</v>
      </c>
      <c r="I28" s="7" t="s">
        <v>29</v>
      </c>
      <c r="J28" s="7" t="s">
        <v>112</v>
      </c>
      <c r="K28" s="7" t="s">
        <v>31</v>
      </c>
      <c r="L28" s="7" t="s">
        <v>32</v>
      </c>
      <c r="M28" s="7" t="s">
        <v>113</v>
      </c>
      <c r="N28" s="7" t="s">
        <v>33</v>
      </c>
      <c r="O28" s="7" t="s">
        <v>34</v>
      </c>
      <c r="P28" s="7" t="s">
        <v>35</v>
      </c>
      <c r="Q28" s="7">
        <v>45.0</v>
      </c>
      <c r="R28" s="7">
        <v>2.0</v>
      </c>
      <c r="S28" s="7">
        <v>3.0</v>
      </c>
      <c r="T28" s="5"/>
      <c r="U28" s="5"/>
      <c r="V28" s="5"/>
      <c r="W28" s="5"/>
      <c r="X28" s="5"/>
      <c r="Y28" s="5"/>
      <c r="Z28" s="5"/>
    </row>
    <row r="29" ht="14.25" customHeight="1">
      <c r="A29" s="7" t="s">
        <v>207</v>
      </c>
      <c r="B29" s="7" t="s">
        <v>208</v>
      </c>
      <c r="C29" s="7" t="s">
        <v>209</v>
      </c>
      <c r="D29" s="7" t="s">
        <v>23</v>
      </c>
      <c r="E29" s="7" t="s">
        <v>24</v>
      </c>
      <c r="F29" s="7" t="s">
        <v>210</v>
      </c>
      <c r="G29" s="7" t="s">
        <v>26</v>
      </c>
      <c r="H29" s="7" t="s">
        <v>210</v>
      </c>
      <c r="I29" s="7" t="s">
        <v>83</v>
      </c>
      <c r="J29" s="7" t="s">
        <v>120</v>
      </c>
      <c r="K29" s="7" t="s">
        <v>31</v>
      </c>
      <c r="L29" s="7" t="s">
        <v>32</v>
      </c>
      <c r="M29" s="7" t="s">
        <v>121</v>
      </c>
      <c r="N29" s="7" t="s">
        <v>33</v>
      </c>
      <c r="O29" s="7" t="s">
        <v>34</v>
      </c>
      <c r="P29" s="7" t="s">
        <v>35</v>
      </c>
      <c r="Q29" s="7">
        <v>30.0</v>
      </c>
      <c r="R29" s="7">
        <v>1.0</v>
      </c>
      <c r="S29" s="7">
        <v>3.0</v>
      </c>
      <c r="T29" s="5"/>
      <c r="U29" s="5"/>
      <c r="V29" s="5"/>
      <c r="W29" s="5"/>
      <c r="X29" s="5"/>
      <c r="Y29" s="5"/>
      <c r="Z29" s="5"/>
    </row>
    <row r="30" ht="14.25" customHeight="1">
      <c r="A30" s="7" t="s">
        <v>211</v>
      </c>
      <c r="B30" s="7" t="s">
        <v>212</v>
      </c>
      <c r="C30" s="7" t="s">
        <v>213</v>
      </c>
      <c r="D30" s="7" t="s">
        <v>23</v>
      </c>
      <c r="E30" s="7" t="s">
        <v>24</v>
      </c>
      <c r="F30" s="7" t="s">
        <v>214</v>
      </c>
      <c r="G30" s="7" t="s">
        <v>214</v>
      </c>
      <c r="H30" s="7" t="s">
        <v>214</v>
      </c>
      <c r="I30" s="7" t="s">
        <v>83</v>
      </c>
      <c r="J30" s="7" t="s">
        <v>120</v>
      </c>
      <c r="K30" s="7" t="s">
        <v>31</v>
      </c>
      <c r="L30" s="7" t="s">
        <v>32</v>
      </c>
      <c r="M30" s="7" t="s">
        <v>121</v>
      </c>
      <c r="N30" s="7" t="s">
        <v>33</v>
      </c>
      <c r="O30" s="7" t="s">
        <v>34</v>
      </c>
      <c r="P30" s="7" t="s">
        <v>35</v>
      </c>
      <c r="Q30" s="7">
        <v>33.0</v>
      </c>
      <c r="R30" s="7">
        <v>2.0</v>
      </c>
      <c r="S30" s="7">
        <v>3.0</v>
      </c>
      <c r="T30" s="5"/>
      <c r="U30" s="5"/>
      <c r="V30" s="5"/>
      <c r="W30" s="5"/>
      <c r="X30" s="5"/>
      <c r="Y30" s="5"/>
      <c r="Z30" s="5"/>
    </row>
    <row r="31" ht="14.25" customHeight="1">
      <c r="A31" s="7" t="s">
        <v>216</v>
      </c>
      <c r="B31" s="7" t="s">
        <v>217</v>
      </c>
      <c r="C31" s="7" t="s">
        <v>218</v>
      </c>
      <c r="D31" s="7" t="s">
        <v>23</v>
      </c>
      <c r="E31" s="7" t="s">
        <v>24</v>
      </c>
      <c r="F31" s="7" t="s">
        <v>220</v>
      </c>
      <c r="G31" s="7" t="s">
        <v>26</v>
      </c>
      <c r="H31" s="7" t="s">
        <v>220</v>
      </c>
      <c r="I31" s="7" t="s">
        <v>83</v>
      </c>
      <c r="J31" s="7" t="s">
        <v>120</v>
      </c>
      <c r="K31" s="7" t="s">
        <v>31</v>
      </c>
      <c r="L31" s="7" t="s">
        <v>32</v>
      </c>
      <c r="M31" s="7" t="s">
        <v>121</v>
      </c>
      <c r="N31" s="7" t="s">
        <v>33</v>
      </c>
      <c r="O31" s="7" t="s">
        <v>34</v>
      </c>
      <c r="P31" s="7" t="s">
        <v>35</v>
      </c>
      <c r="Q31" s="7">
        <v>26.0</v>
      </c>
      <c r="R31" s="7">
        <v>1.0</v>
      </c>
      <c r="S31" s="7">
        <v>3.0</v>
      </c>
      <c r="T31" s="5"/>
      <c r="U31" s="5"/>
      <c r="V31" s="5"/>
      <c r="W31" s="5"/>
      <c r="X31" s="5"/>
      <c r="Y31" s="5"/>
      <c r="Z31" s="5"/>
    </row>
    <row r="32" ht="14.25" customHeight="1">
      <c r="A32" s="7" t="s">
        <v>221</v>
      </c>
      <c r="B32" s="7" t="s">
        <v>222</v>
      </c>
      <c r="C32" s="7" t="s">
        <v>223</v>
      </c>
      <c r="D32" s="7" t="s">
        <v>23</v>
      </c>
      <c r="E32" s="7" t="s">
        <v>24</v>
      </c>
      <c r="F32" s="7" t="s">
        <v>224</v>
      </c>
      <c r="G32" s="7" t="s">
        <v>26</v>
      </c>
      <c r="H32" s="7" t="s">
        <v>224</v>
      </c>
      <c r="I32" s="7" t="s">
        <v>83</v>
      </c>
      <c r="J32" s="7" t="s">
        <v>120</v>
      </c>
      <c r="K32" s="7" t="s">
        <v>31</v>
      </c>
      <c r="L32" s="7" t="s">
        <v>32</v>
      </c>
      <c r="M32" s="7" t="s">
        <v>121</v>
      </c>
      <c r="N32" s="7" t="s">
        <v>33</v>
      </c>
      <c r="O32" s="7" t="s">
        <v>34</v>
      </c>
      <c r="P32" s="7" t="s">
        <v>35</v>
      </c>
      <c r="Q32" s="7">
        <v>28.0</v>
      </c>
      <c r="R32" s="7">
        <v>1.0</v>
      </c>
      <c r="S32" s="7">
        <v>3.0</v>
      </c>
      <c r="T32" s="5"/>
      <c r="U32" s="5"/>
      <c r="V32" s="5"/>
      <c r="W32" s="5"/>
      <c r="X32" s="5"/>
      <c r="Y32" s="5"/>
      <c r="Z32" s="5"/>
    </row>
    <row r="33" ht="14.25" customHeight="1">
      <c r="A33" s="7" t="s">
        <v>225</v>
      </c>
      <c r="B33" s="7" t="s">
        <v>226</v>
      </c>
      <c r="C33" s="7" t="s">
        <v>227</v>
      </c>
      <c r="D33" s="7" t="s">
        <v>23</v>
      </c>
      <c r="E33" s="7" t="s">
        <v>24</v>
      </c>
      <c r="F33" s="7" t="s">
        <v>228</v>
      </c>
      <c r="G33" s="7" t="s">
        <v>26</v>
      </c>
      <c r="H33" s="7" t="s">
        <v>228</v>
      </c>
      <c r="I33" s="7" t="s">
        <v>83</v>
      </c>
      <c r="J33" s="7" t="s">
        <v>120</v>
      </c>
      <c r="K33" s="7" t="s">
        <v>31</v>
      </c>
      <c r="L33" s="7" t="s">
        <v>32</v>
      </c>
      <c r="M33" s="7" t="s">
        <v>121</v>
      </c>
      <c r="N33" s="7" t="s">
        <v>33</v>
      </c>
      <c r="O33" s="7" t="s">
        <v>34</v>
      </c>
      <c r="P33" s="7" t="s">
        <v>35</v>
      </c>
      <c r="Q33" s="7">
        <v>12.0</v>
      </c>
      <c r="R33" s="7">
        <v>1.0</v>
      </c>
      <c r="S33" s="7">
        <v>3.0</v>
      </c>
      <c r="T33" s="5"/>
      <c r="U33" s="5"/>
      <c r="V33" s="5"/>
      <c r="W33" s="5"/>
      <c r="X33" s="5"/>
      <c r="Y33" s="5"/>
      <c r="Z33" s="5"/>
    </row>
    <row r="34" ht="14.25" customHeight="1">
      <c r="A34" s="7" t="s">
        <v>230</v>
      </c>
      <c r="B34" s="7" t="s">
        <v>231</v>
      </c>
      <c r="C34" s="7" t="s">
        <v>232</v>
      </c>
      <c r="D34" s="7" t="s">
        <v>23</v>
      </c>
      <c r="E34" s="7" t="s">
        <v>24</v>
      </c>
      <c r="F34" s="7" t="s">
        <v>233</v>
      </c>
      <c r="G34" s="7" t="s">
        <v>234</v>
      </c>
      <c r="H34" s="7" t="s">
        <v>233</v>
      </c>
      <c r="I34" s="7" t="s">
        <v>83</v>
      </c>
      <c r="J34" s="7" t="s">
        <v>120</v>
      </c>
      <c r="K34" s="7" t="s">
        <v>31</v>
      </c>
      <c r="L34" s="7" t="s">
        <v>32</v>
      </c>
      <c r="M34" s="7" t="s">
        <v>121</v>
      </c>
      <c r="N34" s="7" t="s">
        <v>33</v>
      </c>
      <c r="O34" s="7" t="s">
        <v>34</v>
      </c>
      <c r="P34" s="7" t="s">
        <v>35</v>
      </c>
      <c r="Q34" s="7">
        <v>20.0</v>
      </c>
      <c r="R34" s="7">
        <v>1.0</v>
      </c>
      <c r="S34" s="7">
        <v>3.0</v>
      </c>
      <c r="T34" s="5"/>
      <c r="U34" s="5"/>
      <c r="V34" s="5"/>
      <c r="W34" s="5"/>
      <c r="X34" s="5"/>
      <c r="Y34" s="5"/>
      <c r="Z34" s="5"/>
    </row>
    <row r="35" ht="14.25" customHeight="1">
      <c r="A35" s="7" t="s">
        <v>235</v>
      </c>
      <c r="B35" s="7" t="s">
        <v>236</v>
      </c>
      <c r="C35" s="7" t="s">
        <v>237</v>
      </c>
      <c r="D35" s="7" t="s">
        <v>23</v>
      </c>
      <c r="E35" s="7" t="s">
        <v>24</v>
      </c>
      <c r="F35" s="7" t="s">
        <v>238</v>
      </c>
      <c r="G35" s="7" t="s">
        <v>26</v>
      </c>
      <c r="H35" s="7" t="s">
        <v>239</v>
      </c>
      <c r="I35" s="7" t="s">
        <v>83</v>
      </c>
      <c r="J35" s="7" t="s">
        <v>120</v>
      </c>
      <c r="K35" s="7" t="s">
        <v>31</v>
      </c>
      <c r="L35" s="7" t="s">
        <v>32</v>
      </c>
      <c r="M35" s="7" t="s">
        <v>121</v>
      </c>
      <c r="N35" s="7" t="s">
        <v>33</v>
      </c>
      <c r="O35" s="7" t="s">
        <v>34</v>
      </c>
      <c r="P35" s="7" t="s">
        <v>35</v>
      </c>
      <c r="Q35" s="7">
        <v>4.0</v>
      </c>
      <c r="R35" s="7">
        <v>1.0</v>
      </c>
      <c r="S35" s="7">
        <v>2.0</v>
      </c>
      <c r="T35" s="5"/>
      <c r="U35" s="5"/>
      <c r="V35" s="5"/>
      <c r="W35" s="5"/>
      <c r="X35" s="5"/>
      <c r="Y35" s="5"/>
      <c r="Z35" s="5"/>
    </row>
    <row r="36" ht="14.25" customHeight="1">
      <c r="A36" s="7" t="s">
        <v>241</v>
      </c>
      <c r="B36" s="7" t="s">
        <v>242</v>
      </c>
      <c r="C36" s="7" t="s">
        <v>243</v>
      </c>
      <c r="D36" s="7" t="s">
        <v>23</v>
      </c>
      <c r="E36" s="7" t="s">
        <v>24</v>
      </c>
      <c r="F36" s="7" t="s">
        <v>244</v>
      </c>
      <c r="G36" s="7" t="s">
        <v>26</v>
      </c>
      <c r="H36" s="7" t="s">
        <v>244</v>
      </c>
      <c r="I36" s="7" t="s">
        <v>83</v>
      </c>
      <c r="J36" s="7" t="s">
        <v>120</v>
      </c>
      <c r="K36" s="7" t="s">
        <v>31</v>
      </c>
      <c r="L36" s="7" t="s">
        <v>32</v>
      </c>
      <c r="M36" s="7" t="s">
        <v>121</v>
      </c>
      <c r="N36" s="7" t="s">
        <v>33</v>
      </c>
      <c r="O36" s="7" t="s">
        <v>34</v>
      </c>
      <c r="P36" s="7" t="s">
        <v>35</v>
      </c>
      <c r="Q36" s="7">
        <v>12.0</v>
      </c>
      <c r="R36" s="7">
        <v>1.0</v>
      </c>
      <c r="S36" s="7">
        <v>3.0</v>
      </c>
      <c r="T36" s="5"/>
      <c r="U36" s="5"/>
      <c r="V36" s="5"/>
      <c r="W36" s="5"/>
      <c r="X36" s="5"/>
      <c r="Y36" s="5"/>
      <c r="Z36" s="5"/>
    </row>
    <row r="37" ht="14.25" customHeight="1">
      <c r="A37" s="7" t="s">
        <v>245</v>
      </c>
      <c r="B37" s="7" t="s">
        <v>246</v>
      </c>
      <c r="C37" s="7" t="s">
        <v>247</v>
      </c>
      <c r="D37" s="7" t="s">
        <v>23</v>
      </c>
      <c r="E37" s="7" t="s">
        <v>24</v>
      </c>
      <c r="F37" s="7" t="s">
        <v>248</v>
      </c>
      <c r="G37" s="7" t="s">
        <v>249</v>
      </c>
      <c r="H37" s="7" t="s">
        <v>248</v>
      </c>
      <c r="I37" s="7" t="s">
        <v>83</v>
      </c>
      <c r="J37" s="7" t="s">
        <v>112</v>
      </c>
      <c r="K37" s="7" t="s">
        <v>31</v>
      </c>
      <c r="L37" s="7" t="s">
        <v>32</v>
      </c>
      <c r="M37" s="7" t="s">
        <v>113</v>
      </c>
      <c r="N37" s="7" t="s">
        <v>33</v>
      </c>
      <c r="O37" s="7" t="s">
        <v>34</v>
      </c>
      <c r="P37" s="7" t="s">
        <v>35</v>
      </c>
      <c r="Q37" s="7">
        <v>24.0</v>
      </c>
      <c r="R37" s="7">
        <v>1.0</v>
      </c>
      <c r="S37" s="7">
        <v>3.0</v>
      </c>
      <c r="T37" s="5"/>
      <c r="U37" s="5"/>
      <c r="V37" s="5"/>
      <c r="W37" s="5"/>
      <c r="X37" s="5"/>
      <c r="Y37" s="5"/>
      <c r="Z37" s="5"/>
    </row>
    <row r="38" ht="14.25" customHeight="1">
      <c r="A38" s="7" t="s">
        <v>253</v>
      </c>
      <c r="B38" s="7" t="s">
        <v>254</v>
      </c>
      <c r="C38" s="7" t="s">
        <v>255</v>
      </c>
      <c r="D38" s="7" t="s">
        <v>23</v>
      </c>
      <c r="E38" s="7" t="s">
        <v>24</v>
      </c>
      <c r="F38" s="7" t="s">
        <v>256</v>
      </c>
      <c r="G38" s="7" t="s">
        <v>256</v>
      </c>
      <c r="H38" s="7" t="s">
        <v>256</v>
      </c>
      <c r="I38" s="7" t="s">
        <v>83</v>
      </c>
      <c r="J38" s="7" t="s">
        <v>112</v>
      </c>
      <c r="K38" s="7" t="s">
        <v>31</v>
      </c>
      <c r="L38" s="7" t="s">
        <v>32</v>
      </c>
      <c r="M38" s="7" t="s">
        <v>113</v>
      </c>
      <c r="N38" s="7" t="s">
        <v>33</v>
      </c>
      <c r="O38" s="7" t="s">
        <v>34</v>
      </c>
      <c r="P38" s="7" t="s">
        <v>35</v>
      </c>
      <c r="Q38" s="7">
        <v>61.0</v>
      </c>
      <c r="R38" s="7">
        <v>3.0</v>
      </c>
      <c r="S38" s="7">
        <v>3.0</v>
      </c>
      <c r="T38" s="5"/>
      <c r="U38" s="5"/>
      <c r="V38" s="5"/>
      <c r="W38" s="5"/>
      <c r="X38" s="5"/>
      <c r="Y38" s="5"/>
      <c r="Z38" s="5"/>
    </row>
    <row r="39" ht="14.25" customHeight="1">
      <c r="A39" s="7" t="s">
        <v>257</v>
      </c>
      <c r="B39" s="7" t="s">
        <v>258</v>
      </c>
      <c r="C39" s="7" t="s">
        <v>259</v>
      </c>
      <c r="D39" s="7" t="s">
        <v>23</v>
      </c>
      <c r="E39" s="7" t="s">
        <v>24</v>
      </c>
      <c r="F39" s="7" t="s">
        <v>261</v>
      </c>
      <c r="G39" s="7" t="s">
        <v>26</v>
      </c>
      <c r="H39" s="7" t="s">
        <v>262</v>
      </c>
      <c r="I39" s="7" t="s">
        <v>83</v>
      </c>
      <c r="J39" s="7" t="s">
        <v>127</v>
      </c>
      <c r="K39" s="7" t="s">
        <v>31</v>
      </c>
      <c r="L39" s="7" t="s">
        <v>32</v>
      </c>
      <c r="M39" s="7" t="s">
        <v>128</v>
      </c>
      <c r="N39" s="7" t="s">
        <v>33</v>
      </c>
      <c r="O39" s="7" t="s">
        <v>34</v>
      </c>
      <c r="P39" s="7" t="s">
        <v>35</v>
      </c>
      <c r="Q39" s="7">
        <v>29.0</v>
      </c>
      <c r="R39" s="7">
        <v>1.0</v>
      </c>
      <c r="S39" s="7">
        <v>3.0</v>
      </c>
      <c r="T39" s="5"/>
      <c r="U39" s="5"/>
      <c r="V39" s="5"/>
      <c r="W39" s="5"/>
      <c r="X39" s="5"/>
      <c r="Y39" s="5"/>
      <c r="Z39" s="5"/>
    </row>
    <row r="40" ht="14.25" customHeight="1">
      <c r="A40" s="7" t="s">
        <v>264</v>
      </c>
      <c r="B40" s="7" t="s">
        <v>265</v>
      </c>
      <c r="C40" s="7" t="s">
        <v>266</v>
      </c>
      <c r="D40" s="7" t="s">
        <v>23</v>
      </c>
      <c r="E40" s="7" t="s">
        <v>24</v>
      </c>
      <c r="F40" s="7" t="s">
        <v>267</v>
      </c>
      <c r="G40" s="7" t="s">
        <v>267</v>
      </c>
      <c r="H40" s="7" t="s">
        <v>267</v>
      </c>
      <c r="I40" s="7" t="s">
        <v>83</v>
      </c>
      <c r="J40" s="7" t="s">
        <v>112</v>
      </c>
      <c r="K40" s="7" t="s">
        <v>31</v>
      </c>
      <c r="L40" s="7" t="s">
        <v>32</v>
      </c>
      <c r="M40" s="7" t="s">
        <v>113</v>
      </c>
      <c r="N40" s="7" t="s">
        <v>33</v>
      </c>
      <c r="O40" s="7" t="s">
        <v>34</v>
      </c>
      <c r="P40" s="7" t="s">
        <v>35</v>
      </c>
      <c r="Q40" s="7">
        <v>61.0</v>
      </c>
      <c r="R40" s="7">
        <v>3.0</v>
      </c>
      <c r="S40" s="7">
        <v>3.0</v>
      </c>
      <c r="T40" s="5"/>
      <c r="U40" s="5"/>
      <c r="V40" s="5"/>
      <c r="W40" s="5"/>
      <c r="X40" s="5"/>
      <c r="Y40" s="5"/>
      <c r="Z40" s="5"/>
    </row>
    <row r="41" ht="14.25" customHeight="1">
      <c r="A41" s="7" t="s">
        <v>270</v>
      </c>
      <c r="B41" s="7" t="s">
        <v>271</v>
      </c>
      <c r="C41" s="7" t="s">
        <v>272</v>
      </c>
      <c r="D41" s="7" t="s">
        <v>23</v>
      </c>
      <c r="E41" s="7" t="s">
        <v>24</v>
      </c>
      <c r="F41" s="7" t="s">
        <v>274</v>
      </c>
      <c r="G41" s="7" t="s">
        <v>274</v>
      </c>
      <c r="H41" s="7" t="s">
        <v>274</v>
      </c>
      <c r="I41" s="7" t="s">
        <v>83</v>
      </c>
      <c r="J41" s="7" t="s">
        <v>112</v>
      </c>
      <c r="K41" s="7" t="s">
        <v>31</v>
      </c>
      <c r="L41" s="7" t="s">
        <v>32</v>
      </c>
      <c r="M41" s="7" t="s">
        <v>113</v>
      </c>
      <c r="N41" s="7" t="s">
        <v>33</v>
      </c>
      <c r="O41" s="7" t="s">
        <v>34</v>
      </c>
      <c r="P41" s="7" t="s">
        <v>35</v>
      </c>
      <c r="Q41" s="7">
        <v>21.0</v>
      </c>
      <c r="R41" s="7">
        <v>1.0</v>
      </c>
      <c r="S41" s="7">
        <v>3.0</v>
      </c>
      <c r="T41" s="5"/>
      <c r="U41" s="5"/>
      <c r="V41" s="5"/>
      <c r="W41" s="5"/>
      <c r="X41" s="5"/>
      <c r="Y41" s="5"/>
      <c r="Z41" s="5"/>
    </row>
    <row r="42" ht="14.25" customHeight="1">
      <c r="A42" s="7" t="s">
        <v>276</v>
      </c>
      <c r="B42" s="7" t="s">
        <v>277</v>
      </c>
      <c r="C42" s="7" t="s">
        <v>278</v>
      </c>
      <c r="D42" s="7" t="s">
        <v>23</v>
      </c>
      <c r="E42" s="7" t="s">
        <v>24</v>
      </c>
      <c r="F42" s="7" t="s">
        <v>279</v>
      </c>
      <c r="G42" s="7" t="s">
        <v>26</v>
      </c>
      <c r="H42" s="7" t="s">
        <v>279</v>
      </c>
      <c r="I42" s="7" t="s">
        <v>83</v>
      </c>
      <c r="J42" s="7" t="s">
        <v>112</v>
      </c>
      <c r="K42" s="7" t="s">
        <v>31</v>
      </c>
      <c r="L42" s="7" t="s">
        <v>32</v>
      </c>
      <c r="M42" s="7" t="s">
        <v>113</v>
      </c>
      <c r="N42" s="7" t="s">
        <v>33</v>
      </c>
      <c r="O42" s="7" t="s">
        <v>34</v>
      </c>
      <c r="P42" s="7" t="s">
        <v>35</v>
      </c>
      <c r="Q42" s="7">
        <v>32.0</v>
      </c>
      <c r="R42" s="7">
        <v>2.0</v>
      </c>
      <c r="S42" s="7">
        <v>3.0</v>
      </c>
      <c r="T42" s="5"/>
      <c r="U42" s="5"/>
      <c r="V42" s="5"/>
      <c r="W42" s="5"/>
      <c r="X42" s="5"/>
      <c r="Y42" s="5"/>
      <c r="Z42" s="5"/>
    </row>
    <row r="43" ht="14.25" customHeight="1">
      <c r="A43" s="7" t="s">
        <v>280</v>
      </c>
      <c r="B43" s="7" t="s">
        <v>281</v>
      </c>
      <c r="C43" s="7" t="s">
        <v>282</v>
      </c>
      <c r="D43" s="7" t="s">
        <v>23</v>
      </c>
      <c r="E43" s="7" t="s">
        <v>24</v>
      </c>
      <c r="F43" s="7" t="s">
        <v>283</v>
      </c>
      <c r="G43" s="7" t="s">
        <v>26</v>
      </c>
      <c r="H43" s="7" t="s">
        <v>283</v>
      </c>
      <c r="I43" s="7" t="s">
        <v>83</v>
      </c>
      <c r="J43" s="7" t="s">
        <v>112</v>
      </c>
      <c r="K43" s="7" t="s">
        <v>31</v>
      </c>
      <c r="L43" s="7" t="s">
        <v>32</v>
      </c>
      <c r="M43" s="7" t="s">
        <v>113</v>
      </c>
      <c r="N43" s="7" t="s">
        <v>33</v>
      </c>
      <c r="O43" s="7" t="s">
        <v>34</v>
      </c>
      <c r="P43" s="7" t="s">
        <v>35</v>
      </c>
      <c r="Q43" s="7">
        <v>34.0</v>
      </c>
      <c r="R43" s="7">
        <v>2.0</v>
      </c>
      <c r="S43" s="7">
        <v>3.0</v>
      </c>
      <c r="T43" s="5"/>
      <c r="U43" s="5"/>
      <c r="V43" s="5"/>
      <c r="W43" s="5"/>
      <c r="X43" s="5"/>
      <c r="Y43" s="5"/>
      <c r="Z43" s="5"/>
    </row>
    <row r="44" ht="14.25" customHeight="1">
      <c r="A44" s="7" t="s">
        <v>285</v>
      </c>
      <c r="B44" s="7" t="s">
        <v>286</v>
      </c>
      <c r="C44" s="7" t="s">
        <v>287</v>
      </c>
      <c r="D44" s="7" t="s">
        <v>23</v>
      </c>
      <c r="E44" s="7" t="s">
        <v>24</v>
      </c>
      <c r="F44" s="7" t="s">
        <v>288</v>
      </c>
      <c r="G44" s="7" t="s">
        <v>26</v>
      </c>
      <c r="H44" s="7" t="s">
        <v>288</v>
      </c>
      <c r="I44" s="7" t="s">
        <v>29</v>
      </c>
      <c r="J44" s="7" t="s">
        <v>112</v>
      </c>
      <c r="K44" s="7" t="s">
        <v>31</v>
      </c>
      <c r="L44" s="7" t="s">
        <v>32</v>
      </c>
      <c r="M44" s="7" t="s">
        <v>113</v>
      </c>
      <c r="N44" s="7" t="s">
        <v>33</v>
      </c>
      <c r="O44" s="7" t="s">
        <v>34</v>
      </c>
      <c r="P44" s="7" t="s">
        <v>35</v>
      </c>
      <c r="Q44" s="7">
        <v>36.0</v>
      </c>
      <c r="R44" s="7">
        <v>3.0</v>
      </c>
      <c r="S44" s="7">
        <v>3.0</v>
      </c>
      <c r="T44" s="5"/>
      <c r="U44" s="5"/>
      <c r="V44" s="5"/>
      <c r="W44" s="5"/>
      <c r="X44" s="5"/>
      <c r="Y44" s="5"/>
      <c r="Z44" s="5"/>
    </row>
    <row r="45" ht="14.25" customHeight="1">
      <c r="A45" s="7" t="s">
        <v>289</v>
      </c>
      <c r="B45" s="7" t="s">
        <v>290</v>
      </c>
      <c r="C45" s="7" t="s">
        <v>291</v>
      </c>
      <c r="D45" s="7" t="s">
        <v>23</v>
      </c>
      <c r="E45" s="7" t="s">
        <v>24</v>
      </c>
      <c r="F45" s="7" t="s">
        <v>292</v>
      </c>
      <c r="G45" s="7" t="s">
        <v>292</v>
      </c>
      <c r="H45" s="7" t="s">
        <v>292</v>
      </c>
      <c r="I45" s="7" t="s">
        <v>83</v>
      </c>
      <c r="J45" s="7" t="s">
        <v>120</v>
      </c>
      <c r="K45" s="7" t="s">
        <v>31</v>
      </c>
      <c r="L45" s="7" t="s">
        <v>32</v>
      </c>
      <c r="M45" s="7" t="s">
        <v>121</v>
      </c>
      <c r="N45" s="7" t="s">
        <v>33</v>
      </c>
      <c r="O45" s="7" t="s">
        <v>34</v>
      </c>
      <c r="P45" s="7" t="s">
        <v>35</v>
      </c>
      <c r="Q45" s="7">
        <v>5.0</v>
      </c>
      <c r="R45" s="7">
        <v>1.0</v>
      </c>
      <c r="S45" s="7">
        <v>3.0</v>
      </c>
      <c r="T45" s="5"/>
      <c r="U45" s="5"/>
      <c r="V45" s="5"/>
      <c r="W45" s="5"/>
      <c r="X45" s="5"/>
      <c r="Y45" s="5"/>
      <c r="Z45" s="5"/>
    </row>
    <row r="46" ht="14.25" customHeight="1">
      <c r="A46" s="7" t="s">
        <v>293</v>
      </c>
      <c r="B46" s="7" t="s">
        <v>294</v>
      </c>
      <c r="C46" s="7" t="s">
        <v>295</v>
      </c>
      <c r="D46" s="7" t="s">
        <v>23</v>
      </c>
      <c r="E46" s="7" t="s">
        <v>24</v>
      </c>
      <c r="F46" s="7" t="s">
        <v>296</v>
      </c>
      <c r="G46" s="7" t="s">
        <v>26</v>
      </c>
      <c r="H46" s="7" t="s">
        <v>296</v>
      </c>
      <c r="I46" s="7" t="s">
        <v>29</v>
      </c>
      <c r="J46" s="7" t="s">
        <v>179</v>
      </c>
      <c r="K46" s="7" t="s">
        <v>31</v>
      </c>
      <c r="L46" s="7" t="s">
        <v>32</v>
      </c>
      <c r="M46" s="7" t="s">
        <v>180</v>
      </c>
      <c r="N46" s="7" t="s">
        <v>33</v>
      </c>
      <c r="O46" s="7" t="s">
        <v>34</v>
      </c>
      <c r="P46" s="7" t="s">
        <v>35</v>
      </c>
      <c r="Q46" s="7">
        <v>66.0</v>
      </c>
      <c r="R46" s="7">
        <v>4.0</v>
      </c>
      <c r="S46" s="7">
        <v>3.0</v>
      </c>
      <c r="T46" s="5"/>
      <c r="U46" s="5"/>
      <c r="V46" s="5"/>
      <c r="W46" s="5"/>
      <c r="X46" s="5"/>
      <c r="Y46" s="5"/>
      <c r="Z46" s="5"/>
    </row>
    <row r="47" ht="14.25" customHeight="1">
      <c r="A47" s="7" t="s">
        <v>297</v>
      </c>
      <c r="B47" s="7" t="s">
        <v>298</v>
      </c>
      <c r="C47" s="7" t="s">
        <v>300</v>
      </c>
      <c r="D47" s="7" t="s">
        <v>23</v>
      </c>
      <c r="E47" s="7" t="s">
        <v>24</v>
      </c>
      <c r="F47" s="7" t="s">
        <v>301</v>
      </c>
      <c r="G47" s="7" t="s">
        <v>26</v>
      </c>
      <c r="H47" s="7" t="s">
        <v>301</v>
      </c>
      <c r="I47" s="7" t="s">
        <v>83</v>
      </c>
      <c r="J47" s="7" t="s">
        <v>84</v>
      </c>
      <c r="K47" s="7" t="s">
        <v>31</v>
      </c>
      <c r="L47" s="7" t="s">
        <v>32</v>
      </c>
      <c r="M47" s="7" t="s">
        <v>85</v>
      </c>
      <c r="N47" s="7" t="s">
        <v>33</v>
      </c>
      <c r="O47" s="7" t="s">
        <v>34</v>
      </c>
      <c r="P47" s="7" t="s">
        <v>35</v>
      </c>
      <c r="Q47" s="7">
        <v>26.0</v>
      </c>
      <c r="R47" s="7">
        <v>2.0</v>
      </c>
      <c r="S47" s="7">
        <v>3.0</v>
      </c>
      <c r="T47" s="5"/>
      <c r="U47" s="5"/>
      <c r="V47" s="5"/>
      <c r="W47" s="5"/>
      <c r="X47" s="5"/>
      <c r="Y47" s="5"/>
      <c r="Z47" s="5"/>
    </row>
    <row r="48" ht="14.25" customHeight="1">
      <c r="A48" s="7" t="s">
        <v>304</v>
      </c>
      <c r="B48" s="7" t="s">
        <v>305</v>
      </c>
      <c r="C48" s="7" t="s">
        <v>306</v>
      </c>
      <c r="D48" s="7" t="s">
        <v>23</v>
      </c>
      <c r="E48" s="7" t="s">
        <v>24</v>
      </c>
      <c r="F48" s="7" t="s">
        <v>307</v>
      </c>
      <c r="G48" s="7" t="s">
        <v>26</v>
      </c>
      <c r="H48" s="7" t="s">
        <v>308</v>
      </c>
      <c r="I48" s="7" t="s">
        <v>83</v>
      </c>
      <c r="J48" s="7" t="s">
        <v>84</v>
      </c>
      <c r="K48" s="7" t="s">
        <v>31</v>
      </c>
      <c r="L48" s="7" t="s">
        <v>32</v>
      </c>
      <c r="M48" s="7" t="s">
        <v>85</v>
      </c>
      <c r="N48" s="7" t="s">
        <v>33</v>
      </c>
      <c r="O48" s="7" t="s">
        <v>34</v>
      </c>
      <c r="P48" s="7" t="s">
        <v>35</v>
      </c>
      <c r="Q48" s="7">
        <v>10.0</v>
      </c>
      <c r="R48" s="7">
        <v>1.0</v>
      </c>
      <c r="S48" s="7">
        <v>3.0</v>
      </c>
      <c r="T48" s="5"/>
      <c r="U48" s="5"/>
      <c r="V48" s="5"/>
      <c r="W48" s="5"/>
      <c r="X48" s="5"/>
      <c r="Y48" s="5"/>
      <c r="Z48" s="5"/>
    </row>
    <row r="49" ht="14.25" customHeight="1">
      <c r="A49" s="7" t="s">
        <v>309</v>
      </c>
      <c r="B49" s="7" t="s">
        <v>311</v>
      </c>
      <c r="C49" s="7" t="s">
        <v>312</v>
      </c>
      <c r="D49" s="7" t="s">
        <v>23</v>
      </c>
      <c r="E49" s="7" t="s">
        <v>24</v>
      </c>
      <c r="F49" s="7" t="s">
        <v>313</v>
      </c>
      <c r="G49" s="7" t="s">
        <v>26</v>
      </c>
      <c r="H49" s="7" t="s">
        <v>313</v>
      </c>
      <c r="I49" s="7" t="s">
        <v>83</v>
      </c>
      <c r="J49" s="7" t="s">
        <v>84</v>
      </c>
      <c r="K49" s="7" t="s">
        <v>31</v>
      </c>
      <c r="L49" s="7" t="s">
        <v>32</v>
      </c>
      <c r="M49" s="7" t="s">
        <v>85</v>
      </c>
      <c r="N49" s="7" t="s">
        <v>33</v>
      </c>
      <c r="O49" s="7" t="s">
        <v>34</v>
      </c>
      <c r="P49" s="7" t="s">
        <v>35</v>
      </c>
      <c r="Q49" s="7">
        <v>27.0</v>
      </c>
      <c r="R49" s="7">
        <v>2.0</v>
      </c>
      <c r="S49" s="7">
        <v>3.0</v>
      </c>
      <c r="T49" s="5"/>
      <c r="U49" s="5"/>
      <c r="V49" s="5"/>
      <c r="W49" s="5"/>
      <c r="X49" s="5"/>
      <c r="Y49" s="5"/>
      <c r="Z49" s="5"/>
    </row>
    <row r="50" ht="14.25" customHeight="1">
      <c r="A50" s="7" t="s">
        <v>316</v>
      </c>
      <c r="B50" s="7" t="s">
        <v>317</v>
      </c>
      <c r="C50" s="7" t="s">
        <v>318</v>
      </c>
      <c r="D50" s="7" t="s">
        <v>23</v>
      </c>
      <c r="E50" s="7" t="s">
        <v>24</v>
      </c>
      <c r="F50" s="7" t="s">
        <v>319</v>
      </c>
      <c r="G50" s="7" t="s">
        <v>26</v>
      </c>
      <c r="H50" s="7" t="s">
        <v>320</v>
      </c>
      <c r="I50" s="7" t="s">
        <v>83</v>
      </c>
      <c r="J50" s="7" t="s">
        <v>84</v>
      </c>
      <c r="K50" s="7" t="s">
        <v>31</v>
      </c>
      <c r="L50" s="7" t="s">
        <v>32</v>
      </c>
      <c r="M50" s="7" t="s">
        <v>85</v>
      </c>
      <c r="N50" s="7" t="s">
        <v>33</v>
      </c>
      <c r="O50" s="7" t="s">
        <v>34</v>
      </c>
      <c r="P50" s="7" t="s">
        <v>35</v>
      </c>
      <c r="Q50" s="7">
        <v>18.0</v>
      </c>
      <c r="R50" s="7">
        <v>2.0</v>
      </c>
      <c r="S50" s="7">
        <v>3.0</v>
      </c>
      <c r="T50" s="5"/>
      <c r="U50" s="5"/>
      <c r="V50" s="5"/>
      <c r="W50" s="5"/>
      <c r="X50" s="5"/>
      <c r="Y50" s="5"/>
      <c r="Z50" s="5"/>
    </row>
    <row r="51" ht="14.25" customHeight="1">
      <c r="A51" s="7" t="s">
        <v>322</v>
      </c>
      <c r="B51" s="7" t="s">
        <v>324</v>
      </c>
      <c r="C51" s="7" t="s">
        <v>325</v>
      </c>
      <c r="D51" s="7" t="s">
        <v>23</v>
      </c>
      <c r="E51" s="7" t="s">
        <v>24</v>
      </c>
      <c r="F51" s="7" t="s">
        <v>326</v>
      </c>
      <c r="G51" s="7" t="s">
        <v>26</v>
      </c>
      <c r="H51" s="7" t="s">
        <v>326</v>
      </c>
      <c r="I51" s="7" t="s">
        <v>83</v>
      </c>
      <c r="J51" s="7" t="s">
        <v>95</v>
      </c>
      <c r="K51" s="7" t="s">
        <v>31</v>
      </c>
      <c r="L51" s="7" t="s">
        <v>32</v>
      </c>
      <c r="M51" s="7" t="s">
        <v>96</v>
      </c>
      <c r="N51" s="7" t="s">
        <v>33</v>
      </c>
      <c r="O51" s="7" t="s">
        <v>34</v>
      </c>
      <c r="P51" s="7" t="s">
        <v>35</v>
      </c>
      <c r="Q51" s="7">
        <v>4.0</v>
      </c>
      <c r="R51" s="7">
        <v>1.0</v>
      </c>
      <c r="S51" s="7">
        <v>3.0</v>
      </c>
      <c r="T51" s="5"/>
      <c r="U51" s="5"/>
      <c r="V51" s="5"/>
      <c r="W51" s="5"/>
      <c r="X51" s="5"/>
      <c r="Y51" s="5"/>
      <c r="Z51" s="5"/>
    </row>
    <row r="52" ht="14.25" customHeight="1">
      <c r="A52" s="7" t="s">
        <v>328</v>
      </c>
      <c r="B52" s="7" t="s">
        <v>329</v>
      </c>
      <c r="C52" s="7" t="s">
        <v>330</v>
      </c>
      <c r="D52" s="7" t="s">
        <v>23</v>
      </c>
      <c r="E52" s="7" t="s">
        <v>24</v>
      </c>
      <c r="F52" s="7" t="s">
        <v>331</v>
      </c>
      <c r="G52" s="7" t="s">
        <v>331</v>
      </c>
      <c r="H52" s="7" t="s">
        <v>331</v>
      </c>
      <c r="I52" s="7" t="s">
        <v>83</v>
      </c>
      <c r="J52" s="7" t="s">
        <v>112</v>
      </c>
      <c r="K52" s="7" t="s">
        <v>31</v>
      </c>
      <c r="L52" s="7" t="s">
        <v>32</v>
      </c>
      <c r="M52" s="7" t="s">
        <v>113</v>
      </c>
      <c r="N52" s="7" t="s">
        <v>33</v>
      </c>
      <c r="O52" s="7" t="s">
        <v>34</v>
      </c>
      <c r="P52" s="7" t="s">
        <v>35</v>
      </c>
      <c r="T52" s="5"/>
      <c r="U52" s="5"/>
      <c r="V52" s="5"/>
      <c r="W52" s="5"/>
      <c r="X52" s="5"/>
      <c r="Y52" s="5"/>
      <c r="Z52" s="5"/>
    </row>
    <row r="53" ht="14.25" customHeight="1">
      <c r="A53" s="7" t="s">
        <v>332</v>
      </c>
      <c r="B53" s="7" t="s">
        <v>333</v>
      </c>
      <c r="C53" s="7" t="s">
        <v>334</v>
      </c>
      <c r="D53" s="7" t="s">
        <v>23</v>
      </c>
      <c r="E53" s="7" t="s">
        <v>24</v>
      </c>
      <c r="F53" s="7" t="s">
        <v>335</v>
      </c>
      <c r="G53" s="7" t="s">
        <v>26</v>
      </c>
      <c r="H53" s="7" t="s">
        <v>335</v>
      </c>
      <c r="I53" s="7" t="s">
        <v>83</v>
      </c>
      <c r="J53" s="7" t="s">
        <v>95</v>
      </c>
      <c r="K53" s="7" t="s">
        <v>31</v>
      </c>
      <c r="L53" s="7" t="s">
        <v>32</v>
      </c>
      <c r="M53" s="7" t="s">
        <v>96</v>
      </c>
      <c r="N53" s="7" t="s">
        <v>33</v>
      </c>
      <c r="O53" s="7" t="s">
        <v>34</v>
      </c>
      <c r="P53" s="7" t="s">
        <v>35</v>
      </c>
      <c r="Q53" s="7">
        <v>5.0</v>
      </c>
      <c r="R53" s="7">
        <v>1.0</v>
      </c>
      <c r="S53" s="7">
        <v>3.0</v>
      </c>
      <c r="T53" s="5"/>
      <c r="U53" s="5"/>
      <c r="V53" s="5"/>
      <c r="W53" s="5"/>
      <c r="X53" s="5"/>
      <c r="Y53" s="5"/>
      <c r="Z53" s="5"/>
    </row>
    <row r="54" ht="14.25" customHeight="1">
      <c r="A54" s="7" t="s">
        <v>336</v>
      </c>
      <c r="B54" s="7" t="s">
        <v>337</v>
      </c>
      <c r="C54" s="7" t="s">
        <v>338</v>
      </c>
      <c r="D54" s="7" t="s">
        <v>23</v>
      </c>
      <c r="E54" s="7" t="s">
        <v>24</v>
      </c>
      <c r="F54" s="7" t="s">
        <v>340</v>
      </c>
      <c r="G54" s="7" t="s">
        <v>26</v>
      </c>
      <c r="H54" s="7" t="s">
        <v>340</v>
      </c>
      <c r="I54" s="7" t="s">
        <v>83</v>
      </c>
      <c r="J54" s="7" t="s">
        <v>84</v>
      </c>
      <c r="K54" s="7" t="s">
        <v>31</v>
      </c>
      <c r="L54" s="7" t="s">
        <v>32</v>
      </c>
      <c r="M54" s="7" t="s">
        <v>85</v>
      </c>
      <c r="N54" s="7" t="s">
        <v>33</v>
      </c>
      <c r="O54" s="7" t="s">
        <v>34</v>
      </c>
      <c r="P54" s="7" t="s">
        <v>35</v>
      </c>
      <c r="Q54" s="7">
        <v>12.0</v>
      </c>
      <c r="R54" s="7">
        <v>1.0</v>
      </c>
      <c r="S54" s="7">
        <v>3.0</v>
      </c>
      <c r="T54" s="5"/>
      <c r="U54" s="5"/>
      <c r="V54" s="5"/>
      <c r="W54" s="5"/>
      <c r="X54" s="5"/>
      <c r="Y54" s="5"/>
      <c r="Z54" s="5"/>
    </row>
    <row r="55" ht="14.25" customHeight="1">
      <c r="A55" s="7" t="s">
        <v>343</v>
      </c>
      <c r="B55" s="7" t="s">
        <v>344</v>
      </c>
      <c r="C55" s="7" t="s">
        <v>345</v>
      </c>
      <c r="D55" s="7" t="s">
        <v>23</v>
      </c>
      <c r="E55" s="7" t="s">
        <v>24</v>
      </c>
      <c r="F55" s="7" t="s">
        <v>346</v>
      </c>
      <c r="G55" s="7" t="s">
        <v>26</v>
      </c>
      <c r="H55" s="7" t="s">
        <v>346</v>
      </c>
      <c r="I55" s="7" t="s">
        <v>83</v>
      </c>
      <c r="J55" s="7" t="s">
        <v>95</v>
      </c>
      <c r="K55" s="7" t="s">
        <v>31</v>
      </c>
      <c r="L55" s="7" t="s">
        <v>32</v>
      </c>
      <c r="M55" s="7" t="s">
        <v>96</v>
      </c>
      <c r="N55" s="7" t="s">
        <v>33</v>
      </c>
      <c r="O55" s="7" t="s">
        <v>34</v>
      </c>
      <c r="P55" s="7" t="s">
        <v>35</v>
      </c>
      <c r="Q55" s="7">
        <v>11.0</v>
      </c>
      <c r="R55" s="7">
        <v>1.0</v>
      </c>
      <c r="S55" s="7">
        <v>3.0</v>
      </c>
      <c r="T55" s="5"/>
      <c r="U55" s="5"/>
      <c r="V55" s="5"/>
      <c r="W55" s="5"/>
      <c r="X55" s="5"/>
      <c r="Y55" s="5"/>
      <c r="Z55" s="5"/>
    </row>
    <row r="56" ht="14.25" customHeight="1">
      <c r="A56" s="7" t="s">
        <v>347</v>
      </c>
      <c r="B56" s="7" t="s">
        <v>349</v>
      </c>
      <c r="C56" s="7" t="s">
        <v>350</v>
      </c>
      <c r="D56" s="7" t="s">
        <v>23</v>
      </c>
      <c r="E56" s="7" t="s">
        <v>24</v>
      </c>
      <c r="F56" s="7" t="s">
        <v>351</v>
      </c>
      <c r="G56" s="7" t="s">
        <v>26</v>
      </c>
      <c r="H56" s="7" t="s">
        <v>63</v>
      </c>
      <c r="I56" s="7" t="s">
        <v>29</v>
      </c>
      <c r="J56" s="7" t="s">
        <v>30</v>
      </c>
      <c r="K56" s="7" t="s">
        <v>31</v>
      </c>
      <c r="L56" s="7" t="s">
        <v>32</v>
      </c>
      <c r="M56" s="7" t="s">
        <v>32</v>
      </c>
      <c r="N56" s="7" t="s">
        <v>33</v>
      </c>
      <c r="O56" s="7" t="s">
        <v>34</v>
      </c>
      <c r="P56" s="7" t="s">
        <v>35</v>
      </c>
      <c r="Q56" s="7">
        <v>101.0</v>
      </c>
      <c r="R56" s="7">
        <v>4.0</v>
      </c>
      <c r="S56" s="7">
        <v>4.0</v>
      </c>
      <c r="T56" s="5"/>
      <c r="U56" s="5"/>
      <c r="V56" s="5"/>
      <c r="W56" s="5"/>
      <c r="X56" s="5"/>
      <c r="Y56" s="5"/>
      <c r="Z56" s="5"/>
    </row>
    <row r="57" ht="14.25" customHeight="1">
      <c r="A57" s="7" t="s">
        <v>352</v>
      </c>
      <c r="B57" s="7" t="s">
        <v>353</v>
      </c>
      <c r="C57" s="7" t="s">
        <v>354</v>
      </c>
      <c r="D57" s="7" t="s">
        <v>23</v>
      </c>
      <c r="E57" s="7" t="s">
        <v>24</v>
      </c>
      <c r="F57" s="7" t="s">
        <v>25</v>
      </c>
      <c r="G57" s="7" t="s">
        <v>26</v>
      </c>
      <c r="H57" s="7" t="s">
        <v>355</v>
      </c>
      <c r="I57" s="7" t="s">
        <v>29</v>
      </c>
      <c r="J57" s="7" t="s">
        <v>95</v>
      </c>
      <c r="K57" s="7" t="s">
        <v>31</v>
      </c>
      <c r="L57" s="7" t="s">
        <v>32</v>
      </c>
      <c r="M57" s="7" t="s">
        <v>96</v>
      </c>
      <c r="N57" s="7" t="s">
        <v>33</v>
      </c>
      <c r="O57" s="7" t="s">
        <v>34</v>
      </c>
      <c r="P57" s="7" t="s">
        <v>35</v>
      </c>
      <c r="Q57" s="7">
        <v>4.0</v>
      </c>
      <c r="R57" s="7">
        <v>1.0</v>
      </c>
      <c r="S57" s="7">
        <v>3.0</v>
      </c>
      <c r="T57" s="5"/>
      <c r="U57" s="5"/>
      <c r="V57" s="5"/>
      <c r="W57" s="5"/>
      <c r="X57" s="5"/>
      <c r="Y57" s="5"/>
      <c r="Z57" s="5"/>
    </row>
    <row r="58" ht="14.25" customHeight="1">
      <c r="A58" s="7" t="s">
        <v>357</v>
      </c>
      <c r="B58" s="7" t="s">
        <v>358</v>
      </c>
      <c r="C58" s="7" t="s">
        <v>359</v>
      </c>
      <c r="D58" s="7" t="s">
        <v>23</v>
      </c>
      <c r="E58" s="7" t="s">
        <v>192</v>
      </c>
      <c r="F58" s="7" t="s">
        <v>360</v>
      </c>
      <c r="G58" s="7" t="s">
        <v>26</v>
      </c>
      <c r="H58" s="7" t="s">
        <v>63</v>
      </c>
      <c r="I58" s="7" t="s">
        <v>29</v>
      </c>
      <c r="J58" s="7" t="s">
        <v>30</v>
      </c>
      <c r="K58" s="7" t="s">
        <v>31</v>
      </c>
      <c r="L58" s="7" t="s">
        <v>32</v>
      </c>
      <c r="M58" s="7" t="s">
        <v>32</v>
      </c>
      <c r="N58" s="7" t="s">
        <v>33</v>
      </c>
      <c r="O58" s="7" t="s">
        <v>34</v>
      </c>
      <c r="P58" s="7" t="s">
        <v>35</v>
      </c>
      <c r="Q58" s="7">
        <v>39.0</v>
      </c>
      <c r="R58" s="7">
        <v>3.0</v>
      </c>
      <c r="S58" s="7">
        <v>3.0</v>
      </c>
      <c r="T58" s="5"/>
      <c r="U58" s="5"/>
      <c r="V58" s="5"/>
      <c r="W58" s="5"/>
      <c r="X58" s="5"/>
      <c r="Y58" s="5"/>
      <c r="Z58" s="5"/>
    </row>
    <row r="59" ht="14.25" customHeight="1">
      <c r="A59" s="7" t="s">
        <v>361</v>
      </c>
      <c r="B59" s="7" t="s">
        <v>362</v>
      </c>
      <c r="C59" s="7" t="s">
        <v>363</v>
      </c>
      <c r="D59" s="7" t="s">
        <v>23</v>
      </c>
      <c r="E59" s="7" t="s">
        <v>24</v>
      </c>
      <c r="F59" s="7" t="s">
        <v>364</v>
      </c>
      <c r="G59" s="7" t="s">
        <v>26</v>
      </c>
      <c r="H59" s="7" t="s">
        <v>364</v>
      </c>
      <c r="I59" s="7" t="s">
        <v>83</v>
      </c>
      <c r="J59" s="7" t="s">
        <v>120</v>
      </c>
      <c r="K59" s="7" t="s">
        <v>31</v>
      </c>
      <c r="L59" s="7" t="s">
        <v>32</v>
      </c>
      <c r="M59" s="7" t="s">
        <v>121</v>
      </c>
      <c r="N59" s="7" t="s">
        <v>33</v>
      </c>
      <c r="O59" s="7" t="s">
        <v>34</v>
      </c>
      <c r="P59" s="7" t="s">
        <v>35</v>
      </c>
      <c r="Q59" s="7">
        <v>25.0</v>
      </c>
      <c r="R59" s="7">
        <v>2.0</v>
      </c>
      <c r="S59" s="7">
        <v>3.0</v>
      </c>
      <c r="T59" s="5"/>
      <c r="U59" s="5"/>
      <c r="V59" s="5"/>
      <c r="W59" s="5"/>
      <c r="X59" s="5"/>
      <c r="Y59" s="5"/>
      <c r="Z59" s="5"/>
    </row>
    <row r="60" ht="14.25" customHeight="1">
      <c r="A60" s="7" t="s">
        <v>369</v>
      </c>
      <c r="B60" s="7" t="s">
        <v>370</v>
      </c>
      <c r="C60" s="7" t="s">
        <v>371</v>
      </c>
      <c r="D60" s="7" t="s">
        <v>23</v>
      </c>
      <c r="E60" s="7" t="s">
        <v>24</v>
      </c>
      <c r="F60" s="7" t="s">
        <v>372</v>
      </c>
      <c r="G60" s="7" t="s">
        <v>26</v>
      </c>
      <c r="H60" s="7" t="s">
        <v>372</v>
      </c>
      <c r="I60" s="7" t="s">
        <v>83</v>
      </c>
      <c r="J60" s="7" t="s">
        <v>120</v>
      </c>
      <c r="K60" s="7" t="s">
        <v>31</v>
      </c>
      <c r="L60" s="7" t="s">
        <v>32</v>
      </c>
      <c r="M60" s="7" t="s">
        <v>121</v>
      </c>
      <c r="N60" s="7" t="s">
        <v>33</v>
      </c>
      <c r="O60" s="7" t="s">
        <v>34</v>
      </c>
      <c r="P60" s="7" t="s">
        <v>35</v>
      </c>
      <c r="Q60" s="7">
        <v>16.0</v>
      </c>
      <c r="R60" s="7">
        <v>1.0</v>
      </c>
      <c r="S60" s="7">
        <v>3.0</v>
      </c>
      <c r="T60" s="5"/>
      <c r="U60" s="5"/>
      <c r="V60" s="5"/>
      <c r="W60" s="5"/>
      <c r="X60" s="5"/>
      <c r="Y60" s="5"/>
      <c r="Z60" s="5"/>
    </row>
    <row r="61" ht="14.25" customHeight="1">
      <c r="A61" s="7" t="s">
        <v>374</v>
      </c>
      <c r="B61" s="7" t="s">
        <v>375</v>
      </c>
      <c r="C61" s="7" t="s">
        <v>376</v>
      </c>
      <c r="D61" s="7" t="s">
        <v>23</v>
      </c>
      <c r="E61" s="7" t="s">
        <v>24</v>
      </c>
      <c r="F61" s="7" t="s">
        <v>377</v>
      </c>
      <c r="G61" s="7" t="s">
        <v>377</v>
      </c>
      <c r="H61" s="7" t="s">
        <v>111</v>
      </c>
      <c r="I61" s="7" t="s">
        <v>29</v>
      </c>
      <c r="J61" s="7" t="s">
        <v>112</v>
      </c>
      <c r="K61" s="7" t="s">
        <v>31</v>
      </c>
      <c r="L61" s="7" t="s">
        <v>32</v>
      </c>
      <c r="M61" s="7" t="s">
        <v>113</v>
      </c>
      <c r="N61" s="7" t="s">
        <v>33</v>
      </c>
      <c r="O61" s="7" t="s">
        <v>34</v>
      </c>
      <c r="P61" s="7" t="s">
        <v>35</v>
      </c>
      <c r="Q61" s="7">
        <v>10.0</v>
      </c>
      <c r="R61" s="7">
        <v>1.0</v>
      </c>
      <c r="S61" s="7">
        <v>3.0</v>
      </c>
      <c r="T61" s="5"/>
      <c r="U61" s="5"/>
      <c r="V61" s="5"/>
      <c r="W61" s="5"/>
      <c r="X61" s="5"/>
      <c r="Y61" s="5"/>
      <c r="Z61" s="5"/>
    </row>
    <row r="62" ht="14.25" customHeight="1">
      <c r="A62" s="7" t="s">
        <v>380</v>
      </c>
      <c r="B62" s="7" t="s">
        <v>381</v>
      </c>
      <c r="C62" s="7" t="s">
        <v>382</v>
      </c>
      <c r="D62" s="7" t="s">
        <v>23</v>
      </c>
      <c r="E62" s="7" t="s">
        <v>24</v>
      </c>
      <c r="F62" s="7" t="s">
        <v>383</v>
      </c>
      <c r="G62" s="7" t="s">
        <v>26</v>
      </c>
      <c r="H62" s="7" t="s">
        <v>390</v>
      </c>
      <c r="I62" s="7" t="s">
        <v>29</v>
      </c>
      <c r="J62" s="7" t="s">
        <v>127</v>
      </c>
      <c r="K62" s="7" t="s">
        <v>31</v>
      </c>
      <c r="L62" s="7" t="s">
        <v>32</v>
      </c>
      <c r="M62" s="7" t="s">
        <v>128</v>
      </c>
      <c r="N62" s="7" t="s">
        <v>33</v>
      </c>
      <c r="O62" s="7" t="s">
        <v>34</v>
      </c>
      <c r="P62" s="7" t="s">
        <v>35</v>
      </c>
      <c r="Q62" s="7">
        <v>29.0</v>
      </c>
      <c r="R62" s="7">
        <v>2.0</v>
      </c>
      <c r="S62" s="7">
        <v>3.0</v>
      </c>
      <c r="T62" s="5"/>
      <c r="U62" s="5"/>
      <c r="V62" s="5"/>
      <c r="W62" s="5"/>
      <c r="X62" s="5"/>
      <c r="Y62" s="5"/>
      <c r="Z62" s="5"/>
    </row>
    <row r="63" ht="14.25" customHeight="1">
      <c r="A63" s="7" t="s">
        <v>391</v>
      </c>
      <c r="B63" s="7" t="s">
        <v>392</v>
      </c>
      <c r="C63" s="7" t="s">
        <v>393</v>
      </c>
      <c r="D63" s="7" t="s">
        <v>23</v>
      </c>
      <c r="E63" s="7" t="s">
        <v>24</v>
      </c>
      <c r="F63" s="7" t="s">
        <v>394</v>
      </c>
      <c r="G63" s="7" t="s">
        <v>394</v>
      </c>
      <c r="H63" s="7" t="s">
        <v>394</v>
      </c>
      <c r="I63" s="7" t="s">
        <v>83</v>
      </c>
      <c r="J63" s="7" t="s">
        <v>112</v>
      </c>
      <c r="K63" s="7" t="s">
        <v>31</v>
      </c>
      <c r="L63" s="7" t="s">
        <v>32</v>
      </c>
      <c r="M63" s="7" t="s">
        <v>113</v>
      </c>
      <c r="N63" s="7" t="s">
        <v>33</v>
      </c>
      <c r="O63" s="7" t="s">
        <v>34</v>
      </c>
      <c r="P63" s="7" t="s">
        <v>35</v>
      </c>
      <c r="Q63" s="7">
        <v>61.0</v>
      </c>
      <c r="R63" s="7">
        <v>3.0</v>
      </c>
      <c r="S63" s="7">
        <v>3.0</v>
      </c>
      <c r="T63" s="5"/>
      <c r="U63" s="5"/>
      <c r="V63" s="5"/>
      <c r="W63" s="5"/>
      <c r="X63" s="5"/>
      <c r="Y63" s="5"/>
      <c r="Z63" s="5"/>
    </row>
    <row r="64" ht="14.25" customHeight="1">
      <c r="A64" s="7" t="s">
        <v>398</v>
      </c>
      <c r="B64" s="7" t="s">
        <v>399</v>
      </c>
      <c r="C64" s="7" t="s">
        <v>400</v>
      </c>
      <c r="D64" s="7" t="s">
        <v>23</v>
      </c>
      <c r="E64" s="7" t="s">
        <v>24</v>
      </c>
      <c r="F64" s="7" t="s">
        <v>401</v>
      </c>
      <c r="G64" s="7" t="s">
        <v>26</v>
      </c>
      <c r="H64" s="7" t="s">
        <v>401</v>
      </c>
      <c r="I64" s="7" t="s">
        <v>83</v>
      </c>
      <c r="J64" s="7" t="s">
        <v>112</v>
      </c>
      <c r="K64" s="7" t="s">
        <v>31</v>
      </c>
      <c r="L64" s="7" t="s">
        <v>32</v>
      </c>
      <c r="M64" s="7" t="s">
        <v>113</v>
      </c>
      <c r="N64" s="7" t="s">
        <v>33</v>
      </c>
      <c r="O64" s="7" t="s">
        <v>34</v>
      </c>
      <c r="P64" s="7" t="s">
        <v>35</v>
      </c>
      <c r="Q64" s="7">
        <v>10.0</v>
      </c>
      <c r="R64" s="7">
        <v>1.0</v>
      </c>
      <c r="S64" s="7">
        <v>3.0</v>
      </c>
      <c r="T64" s="5"/>
      <c r="U64" s="5"/>
      <c r="V64" s="5"/>
      <c r="W64" s="5"/>
      <c r="X64" s="5"/>
      <c r="Y64" s="5"/>
      <c r="Z64" s="5"/>
    </row>
    <row r="65" ht="14.25" customHeight="1">
      <c r="A65" s="7" t="s">
        <v>402</v>
      </c>
      <c r="B65" s="7" t="s">
        <v>403</v>
      </c>
      <c r="C65" s="7" t="s">
        <v>404</v>
      </c>
      <c r="D65" s="7" t="s">
        <v>23</v>
      </c>
      <c r="E65" s="7" t="s">
        <v>24</v>
      </c>
      <c r="F65" s="7" t="s">
        <v>405</v>
      </c>
      <c r="G65" s="7" t="s">
        <v>26</v>
      </c>
      <c r="H65" s="7" t="s">
        <v>406</v>
      </c>
      <c r="I65" s="7" t="s">
        <v>83</v>
      </c>
      <c r="J65" s="7" t="s">
        <v>112</v>
      </c>
      <c r="K65" s="7" t="s">
        <v>31</v>
      </c>
      <c r="L65" s="7" t="s">
        <v>32</v>
      </c>
      <c r="M65" s="7" t="s">
        <v>113</v>
      </c>
      <c r="N65" s="7" t="s">
        <v>33</v>
      </c>
      <c r="O65" s="7" t="s">
        <v>34</v>
      </c>
      <c r="P65" s="7" t="s">
        <v>35</v>
      </c>
      <c r="Q65" s="7">
        <v>21.0</v>
      </c>
      <c r="R65" s="7">
        <v>1.0</v>
      </c>
      <c r="S65" s="7">
        <v>3.0</v>
      </c>
      <c r="T65" s="5"/>
      <c r="U65" s="5"/>
      <c r="V65" s="5"/>
      <c r="W65" s="5"/>
      <c r="X65" s="5"/>
      <c r="Y65" s="5"/>
      <c r="Z65" s="5"/>
    </row>
    <row r="66" ht="14.25" customHeight="1">
      <c r="A66" s="7" t="s">
        <v>407</v>
      </c>
      <c r="B66" s="7" t="s">
        <v>408</v>
      </c>
      <c r="C66" s="7" t="s">
        <v>409</v>
      </c>
      <c r="D66" s="7" t="s">
        <v>23</v>
      </c>
      <c r="E66" s="7" t="s">
        <v>24</v>
      </c>
      <c r="F66" s="7" t="s">
        <v>25</v>
      </c>
      <c r="G66" s="7" t="s">
        <v>26</v>
      </c>
      <c r="H66" s="7" t="s">
        <v>411</v>
      </c>
      <c r="I66" s="7" t="s">
        <v>83</v>
      </c>
      <c r="J66" s="7" t="s">
        <v>112</v>
      </c>
      <c r="K66" s="7" t="s">
        <v>31</v>
      </c>
      <c r="L66" s="7" t="s">
        <v>32</v>
      </c>
      <c r="M66" s="7" t="s">
        <v>113</v>
      </c>
      <c r="N66" s="7" t="s">
        <v>33</v>
      </c>
      <c r="O66" s="7" t="s">
        <v>34</v>
      </c>
      <c r="P66" s="7" t="s">
        <v>35</v>
      </c>
      <c r="Q66" s="7">
        <v>12.0</v>
      </c>
      <c r="R66" s="7">
        <v>1.0</v>
      </c>
      <c r="S66" s="7">
        <v>3.0</v>
      </c>
      <c r="T66" s="5"/>
      <c r="U66" s="5"/>
      <c r="V66" s="5"/>
      <c r="W66" s="5"/>
      <c r="X66" s="5"/>
      <c r="Y66" s="5"/>
      <c r="Z66" s="5"/>
    </row>
    <row r="67" ht="14.25" customHeight="1">
      <c r="A67" s="7" t="s">
        <v>417</v>
      </c>
      <c r="B67" s="7" t="s">
        <v>418</v>
      </c>
      <c r="C67" s="7" t="s">
        <v>419</v>
      </c>
      <c r="D67" s="7" t="s">
        <v>23</v>
      </c>
      <c r="E67" s="7" t="s">
        <v>24</v>
      </c>
      <c r="F67" s="7" t="s">
        <v>421</v>
      </c>
      <c r="G67" s="7" t="s">
        <v>26</v>
      </c>
      <c r="H67" s="7" t="s">
        <v>421</v>
      </c>
      <c r="I67" s="7" t="s">
        <v>83</v>
      </c>
      <c r="J67" s="7" t="s">
        <v>95</v>
      </c>
      <c r="K67" s="7" t="s">
        <v>31</v>
      </c>
      <c r="L67" s="7" t="s">
        <v>32</v>
      </c>
      <c r="M67" s="7" t="s">
        <v>96</v>
      </c>
      <c r="N67" s="7" t="s">
        <v>33</v>
      </c>
      <c r="O67" s="7" t="s">
        <v>34</v>
      </c>
      <c r="P67" s="7" t="s">
        <v>35</v>
      </c>
      <c r="Q67" s="7">
        <v>14.0</v>
      </c>
      <c r="R67" s="7">
        <v>1.0</v>
      </c>
      <c r="S67" s="7">
        <v>3.0</v>
      </c>
      <c r="T67" s="5"/>
      <c r="U67" s="5"/>
      <c r="V67" s="5"/>
      <c r="W67" s="5"/>
      <c r="X67" s="5"/>
      <c r="Y67" s="5"/>
      <c r="Z67" s="5"/>
    </row>
    <row r="68" ht="14.25" customHeight="1">
      <c r="A68" s="7" t="s">
        <v>425</v>
      </c>
      <c r="B68" s="7" t="s">
        <v>426</v>
      </c>
      <c r="C68" s="7" t="s">
        <v>427</v>
      </c>
      <c r="D68" s="7" t="s">
        <v>23</v>
      </c>
      <c r="E68" s="7" t="s">
        <v>24</v>
      </c>
      <c r="F68" s="7" t="s">
        <v>428</v>
      </c>
      <c r="G68" s="7" t="s">
        <v>26</v>
      </c>
      <c r="H68" s="7" t="s">
        <v>428</v>
      </c>
      <c r="I68" s="7" t="s">
        <v>83</v>
      </c>
      <c r="J68" s="7" t="s">
        <v>95</v>
      </c>
      <c r="K68" s="7" t="s">
        <v>31</v>
      </c>
      <c r="L68" s="7" t="s">
        <v>32</v>
      </c>
      <c r="M68" s="7" t="s">
        <v>96</v>
      </c>
      <c r="N68" s="7" t="s">
        <v>33</v>
      </c>
      <c r="O68" s="7" t="s">
        <v>34</v>
      </c>
      <c r="P68" s="7" t="s">
        <v>35</v>
      </c>
      <c r="Q68" s="7">
        <v>8.0</v>
      </c>
      <c r="R68" s="7">
        <v>1.0</v>
      </c>
      <c r="S68" s="7">
        <v>3.0</v>
      </c>
      <c r="T68" s="5"/>
      <c r="U68" s="5"/>
      <c r="V68" s="5"/>
      <c r="W68" s="5"/>
      <c r="X68" s="5"/>
      <c r="Y68" s="5"/>
      <c r="Z68" s="5"/>
    </row>
    <row r="69" ht="14.25" customHeight="1">
      <c r="A69" s="7" t="s">
        <v>430</v>
      </c>
      <c r="B69" s="7" t="s">
        <v>431</v>
      </c>
      <c r="C69" s="7" t="s">
        <v>432</v>
      </c>
      <c r="D69" s="7" t="s">
        <v>23</v>
      </c>
      <c r="E69" s="7" t="s">
        <v>24</v>
      </c>
      <c r="F69" s="7" t="s">
        <v>433</v>
      </c>
      <c r="G69" s="7" t="s">
        <v>26</v>
      </c>
      <c r="H69" s="7" t="s">
        <v>434</v>
      </c>
      <c r="I69" s="7" t="s">
        <v>83</v>
      </c>
      <c r="J69" s="7" t="s">
        <v>179</v>
      </c>
      <c r="K69" s="7" t="s">
        <v>31</v>
      </c>
      <c r="L69" s="7" t="s">
        <v>32</v>
      </c>
      <c r="M69" s="7" t="s">
        <v>180</v>
      </c>
      <c r="N69" s="7" t="s">
        <v>33</v>
      </c>
      <c r="O69" s="7" t="s">
        <v>34</v>
      </c>
      <c r="P69" s="7" t="s">
        <v>35</v>
      </c>
      <c r="Q69" s="7">
        <v>25.0</v>
      </c>
      <c r="R69" s="7">
        <v>2.0</v>
      </c>
      <c r="S69" s="7">
        <v>3.0</v>
      </c>
      <c r="T69" s="5"/>
      <c r="U69" s="5"/>
      <c r="V69" s="5"/>
      <c r="W69" s="5"/>
      <c r="X69" s="5"/>
      <c r="Y69" s="5"/>
      <c r="Z69" s="5"/>
    </row>
    <row r="70" ht="14.25" customHeight="1">
      <c r="A70" s="7" t="s">
        <v>436</v>
      </c>
      <c r="B70" s="7" t="s">
        <v>437</v>
      </c>
      <c r="C70" s="7" t="s">
        <v>438</v>
      </c>
      <c r="D70" s="7" t="s">
        <v>23</v>
      </c>
      <c r="E70" s="7" t="s">
        <v>24</v>
      </c>
      <c r="F70" s="7" t="s">
        <v>439</v>
      </c>
      <c r="G70" s="7" t="s">
        <v>26</v>
      </c>
      <c r="H70" s="7" t="s">
        <v>440</v>
      </c>
      <c r="I70" s="7" t="s">
        <v>83</v>
      </c>
      <c r="J70" s="7" t="s">
        <v>95</v>
      </c>
      <c r="K70" s="7" t="s">
        <v>31</v>
      </c>
      <c r="L70" s="7" t="s">
        <v>32</v>
      </c>
      <c r="M70" s="7" t="s">
        <v>96</v>
      </c>
      <c r="N70" s="7" t="s">
        <v>33</v>
      </c>
      <c r="O70" s="7" t="s">
        <v>34</v>
      </c>
      <c r="P70" s="7" t="s">
        <v>35</v>
      </c>
      <c r="Q70" s="7">
        <v>9.0</v>
      </c>
      <c r="R70" s="7">
        <v>1.0</v>
      </c>
      <c r="S70" s="7">
        <v>3.0</v>
      </c>
      <c r="T70" s="5"/>
      <c r="U70" s="5"/>
      <c r="V70" s="5"/>
      <c r="W70" s="5"/>
      <c r="X70" s="5"/>
      <c r="Y70" s="5"/>
      <c r="Z70" s="5"/>
    </row>
    <row r="71" ht="14.25" customHeight="1">
      <c r="A71" s="7" t="s">
        <v>442</v>
      </c>
      <c r="B71" s="7" t="s">
        <v>443</v>
      </c>
      <c r="C71" s="7" t="s">
        <v>444</v>
      </c>
      <c r="D71" s="7" t="s">
        <v>23</v>
      </c>
      <c r="E71" s="7" t="s">
        <v>24</v>
      </c>
      <c r="F71" s="7" t="s">
        <v>445</v>
      </c>
      <c r="G71" s="7" t="s">
        <v>26</v>
      </c>
      <c r="H71" s="7" t="s">
        <v>446</v>
      </c>
      <c r="I71" s="7" t="s">
        <v>83</v>
      </c>
      <c r="J71" s="7" t="s">
        <v>179</v>
      </c>
      <c r="K71" s="7" t="s">
        <v>31</v>
      </c>
      <c r="L71" s="7" t="s">
        <v>32</v>
      </c>
      <c r="M71" s="7" t="s">
        <v>180</v>
      </c>
      <c r="N71" s="7" t="s">
        <v>33</v>
      </c>
      <c r="O71" s="7" t="s">
        <v>34</v>
      </c>
      <c r="P71" s="7" t="s">
        <v>35</v>
      </c>
      <c r="Q71" s="7">
        <v>9.0</v>
      </c>
      <c r="R71" s="7">
        <v>1.0</v>
      </c>
      <c r="S71" s="7">
        <v>3.0</v>
      </c>
      <c r="T71" s="5"/>
      <c r="U71" s="5"/>
      <c r="V71" s="5"/>
      <c r="W71" s="5"/>
      <c r="X71" s="5"/>
      <c r="Y71" s="5"/>
      <c r="Z71" s="5"/>
    </row>
    <row r="72" ht="14.25" customHeight="1">
      <c r="A72" s="7" t="s">
        <v>447</v>
      </c>
      <c r="B72" s="7" t="s">
        <v>448</v>
      </c>
      <c r="C72" s="7" t="s">
        <v>449</v>
      </c>
      <c r="D72" s="7" t="s">
        <v>23</v>
      </c>
      <c r="E72" s="7" t="s">
        <v>24</v>
      </c>
      <c r="F72" s="7" t="s">
        <v>450</v>
      </c>
      <c r="G72" s="7" t="s">
        <v>26</v>
      </c>
      <c r="H72" s="7" t="s">
        <v>450</v>
      </c>
      <c r="I72" s="7" t="s">
        <v>83</v>
      </c>
      <c r="J72" s="7" t="s">
        <v>95</v>
      </c>
      <c r="K72" s="7" t="s">
        <v>31</v>
      </c>
      <c r="L72" s="7" t="s">
        <v>32</v>
      </c>
      <c r="M72" s="7" t="s">
        <v>96</v>
      </c>
      <c r="N72" s="7" t="s">
        <v>33</v>
      </c>
      <c r="O72" s="7" t="s">
        <v>34</v>
      </c>
      <c r="P72" s="7" t="s">
        <v>35</v>
      </c>
      <c r="Q72" s="7">
        <v>4.0</v>
      </c>
      <c r="R72" s="7">
        <v>1.0</v>
      </c>
      <c r="S72" s="7">
        <v>3.0</v>
      </c>
      <c r="T72" s="5"/>
      <c r="U72" s="5"/>
      <c r="V72" s="5"/>
      <c r="W72" s="5"/>
      <c r="X72" s="5"/>
      <c r="Y72" s="5"/>
      <c r="Z72" s="5"/>
    </row>
    <row r="73" ht="14.25" customHeight="1">
      <c r="A73" s="7" t="s">
        <v>451</v>
      </c>
      <c r="B73" s="7" t="s">
        <v>452</v>
      </c>
      <c r="C73" s="7" t="s">
        <v>453</v>
      </c>
      <c r="D73" s="7" t="s">
        <v>23</v>
      </c>
      <c r="E73" s="7" t="s">
        <v>24</v>
      </c>
      <c r="F73" s="7" t="s">
        <v>454</v>
      </c>
      <c r="G73" s="7" t="s">
        <v>26</v>
      </c>
      <c r="H73" s="7" t="s">
        <v>454</v>
      </c>
      <c r="I73" s="7" t="s">
        <v>83</v>
      </c>
      <c r="J73" s="7" t="s">
        <v>95</v>
      </c>
      <c r="K73" s="7" t="s">
        <v>31</v>
      </c>
      <c r="L73" s="7" t="s">
        <v>32</v>
      </c>
      <c r="M73" s="7" t="s">
        <v>96</v>
      </c>
      <c r="N73" s="7" t="s">
        <v>33</v>
      </c>
      <c r="O73" s="7" t="s">
        <v>34</v>
      </c>
      <c r="P73" s="7" t="s">
        <v>35</v>
      </c>
      <c r="Q73" s="7">
        <v>10.0</v>
      </c>
      <c r="R73" s="7">
        <v>1.0</v>
      </c>
      <c r="S73" s="7">
        <v>3.0</v>
      </c>
      <c r="T73" s="5"/>
      <c r="U73" s="5"/>
      <c r="V73" s="5"/>
      <c r="W73" s="5"/>
      <c r="X73" s="5"/>
      <c r="Y73" s="5"/>
      <c r="Z73" s="5"/>
    </row>
    <row r="74" ht="14.25" customHeight="1">
      <c r="A74" s="7" t="s">
        <v>455</v>
      </c>
      <c r="B74" s="7" t="s">
        <v>456</v>
      </c>
      <c r="C74" s="7" t="s">
        <v>457</v>
      </c>
      <c r="D74" s="7" t="s">
        <v>23</v>
      </c>
      <c r="E74" s="7" t="s">
        <v>24</v>
      </c>
      <c r="F74" s="7" t="s">
        <v>458</v>
      </c>
      <c r="G74" s="7" t="s">
        <v>26</v>
      </c>
      <c r="H74" s="7" t="s">
        <v>459</v>
      </c>
      <c r="I74" s="7" t="s">
        <v>29</v>
      </c>
      <c r="J74" s="7" t="s">
        <v>30</v>
      </c>
      <c r="K74" s="7" t="s">
        <v>31</v>
      </c>
      <c r="L74" s="7" t="s">
        <v>32</v>
      </c>
      <c r="M74" s="7" t="s">
        <v>32</v>
      </c>
      <c r="N74" s="7" t="s">
        <v>33</v>
      </c>
      <c r="O74" s="7" t="s">
        <v>34</v>
      </c>
      <c r="P74" s="7" t="s">
        <v>35</v>
      </c>
      <c r="Q74" s="7">
        <v>41.0</v>
      </c>
      <c r="R74" s="7">
        <v>3.0</v>
      </c>
      <c r="S74" s="7">
        <v>3.0</v>
      </c>
      <c r="T74" s="5"/>
      <c r="U74" s="5"/>
      <c r="V74" s="5"/>
      <c r="W74" s="5"/>
      <c r="X74" s="5"/>
      <c r="Y74" s="5"/>
      <c r="Z74" s="5"/>
    </row>
    <row r="75" ht="14.25" customHeight="1">
      <c r="A75" s="7" t="s">
        <v>461</v>
      </c>
      <c r="B75" s="7" t="s">
        <v>462</v>
      </c>
      <c r="C75" s="7" t="s">
        <v>463</v>
      </c>
      <c r="D75" s="7" t="s">
        <v>23</v>
      </c>
      <c r="E75" s="7" t="s">
        <v>24</v>
      </c>
      <c r="F75" s="7" t="s">
        <v>464</v>
      </c>
      <c r="G75" s="7" t="s">
        <v>26</v>
      </c>
      <c r="H75" s="7" t="s">
        <v>464</v>
      </c>
      <c r="I75" s="7" t="s">
        <v>83</v>
      </c>
      <c r="J75" s="7" t="s">
        <v>112</v>
      </c>
      <c r="K75" s="7" t="s">
        <v>31</v>
      </c>
      <c r="L75" s="7" t="s">
        <v>32</v>
      </c>
      <c r="M75" s="7" t="s">
        <v>113</v>
      </c>
      <c r="N75" s="7" t="s">
        <v>33</v>
      </c>
      <c r="O75" s="7" t="s">
        <v>34</v>
      </c>
      <c r="P75" s="7" t="s">
        <v>35</v>
      </c>
      <c r="Q75" s="7">
        <v>11.0</v>
      </c>
      <c r="R75" s="7">
        <v>1.0</v>
      </c>
      <c r="S75" s="7">
        <v>3.0</v>
      </c>
      <c r="T75" s="5"/>
      <c r="U75" s="5"/>
      <c r="V75" s="5"/>
      <c r="W75" s="5"/>
      <c r="X75" s="5"/>
      <c r="Y75" s="5"/>
      <c r="Z75" s="5"/>
    </row>
    <row r="76" ht="14.25" customHeight="1">
      <c r="A76" s="7" t="s">
        <v>465</v>
      </c>
      <c r="B76" s="7" t="s">
        <v>466</v>
      </c>
      <c r="C76" s="7" t="s">
        <v>467</v>
      </c>
      <c r="D76" s="7" t="s">
        <v>23</v>
      </c>
      <c r="E76" s="7" t="s">
        <v>24</v>
      </c>
      <c r="F76" s="7" t="s">
        <v>468</v>
      </c>
      <c r="G76" s="7" t="s">
        <v>468</v>
      </c>
      <c r="H76" s="7" t="s">
        <v>468</v>
      </c>
      <c r="I76" s="7" t="s">
        <v>83</v>
      </c>
      <c r="J76" s="7" t="s">
        <v>168</v>
      </c>
      <c r="K76" s="7" t="s">
        <v>31</v>
      </c>
      <c r="L76" s="7" t="s">
        <v>32</v>
      </c>
      <c r="M76" s="7" t="s">
        <v>169</v>
      </c>
      <c r="N76" s="7" t="s">
        <v>33</v>
      </c>
      <c r="O76" s="7" t="s">
        <v>34</v>
      </c>
      <c r="P76" s="7" t="s">
        <v>35</v>
      </c>
      <c r="Q76" s="7">
        <v>23.0</v>
      </c>
      <c r="R76" s="7">
        <v>1.0</v>
      </c>
      <c r="S76" s="7">
        <v>3.0</v>
      </c>
      <c r="T76" s="5"/>
      <c r="U76" s="5"/>
      <c r="V76" s="5"/>
      <c r="W76" s="5"/>
      <c r="X76" s="5"/>
      <c r="Y76" s="5"/>
      <c r="Z76" s="5"/>
    </row>
    <row r="77" ht="14.25" customHeight="1">
      <c r="A77" s="7" t="s">
        <v>469</v>
      </c>
      <c r="B77" s="7" t="s">
        <v>470</v>
      </c>
      <c r="C77" s="7" t="s">
        <v>471</v>
      </c>
      <c r="D77" s="7" t="s">
        <v>23</v>
      </c>
      <c r="E77" s="7" t="s">
        <v>192</v>
      </c>
      <c r="F77" s="7" t="s">
        <v>472</v>
      </c>
      <c r="G77" s="7" t="s">
        <v>26</v>
      </c>
      <c r="H77" s="7" t="s">
        <v>63</v>
      </c>
      <c r="I77" s="7" t="s">
        <v>29</v>
      </c>
      <c r="J77" s="7" t="s">
        <v>30</v>
      </c>
      <c r="K77" s="7" t="s">
        <v>31</v>
      </c>
      <c r="L77" s="7" t="s">
        <v>32</v>
      </c>
      <c r="M77" s="7" t="s">
        <v>32</v>
      </c>
      <c r="N77" s="7" t="s">
        <v>33</v>
      </c>
      <c r="O77" s="7" t="s">
        <v>34</v>
      </c>
      <c r="P77" s="7" t="s">
        <v>35</v>
      </c>
      <c r="Q77" s="7">
        <v>21.0</v>
      </c>
      <c r="R77" s="7">
        <v>3.0</v>
      </c>
      <c r="S77" s="7">
        <v>3.0</v>
      </c>
      <c r="T77" s="5"/>
      <c r="U77" s="5"/>
      <c r="V77" s="5"/>
      <c r="W77" s="5"/>
      <c r="X77" s="5"/>
      <c r="Y77" s="5"/>
      <c r="Z77" s="5"/>
    </row>
    <row r="78" ht="14.25" customHeight="1">
      <c r="A78" s="7" t="s">
        <v>474</v>
      </c>
      <c r="B78" s="7" t="s">
        <v>475</v>
      </c>
      <c r="C78" s="7" t="s">
        <v>476</v>
      </c>
      <c r="D78" s="7" t="s">
        <v>23</v>
      </c>
      <c r="E78" s="7" t="s">
        <v>24</v>
      </c>
      <c r="F78" s="7" t="s">
        <v>477</v>
      </c>
      <c r="G78" s="7" t="s">
        <v>478</v>
      </c>
      <c r="H78" s="7" t="s">
        <v>478</v>
      </c>
      <c r="I78" s="7" t="s">
        <v>29</v>
      </c>
      <c r="J78" s="7" t="s">
        <v>30</v>
      </c>
      <c r="K78" s="7" t="s">
        <v>31</v>
      </c>
      <c r="L78" s="7" t="s">
        <v>32</v>
      </c>
      <c r="M78" s="7" t="s">
        <v>32</v>
      </c>
      <c r="N78" s="7" t="s">
        <v>33</v>
      </c>
      <c r="O78" s="7" t="s">
        <v>34</v>
      </c>
      <c r="P78" s="7" t="s">
        <v>35</v>
      </c>
      <c r="Q78" s="7">
        <v>8.0</v>
      </c>
      <c r="R78" s="7">
        <v>1.0</v>
      </c>
      <c r="S78" s="7">
        <v>3.0</v>
      </c>
      <c r="T78" s="5"/>
      <c r="U78" s="5"/>
      <c r="V78" s="5"/>
      <c r="W78" s="5"/>
      <c r="X78" s="5"/>
      <c r="Y78" s="5"/>
      <c r="Z78" s="5"/>
    </row>
    <row r="79" ht="14.25" customHeight="1">
      <c r="A79" s="7" t="s">
        <v>479</v>
      </c>
      <c r="B79" s="7" t="s">
        <v>480</v>
      </c>
      <c r="C79" s="7" t="s">
        <v>481</v>
      </c>
      <c r="D79" s="7" t="s">
        <v>23</v>
      </c>
      <c r="E79" s="7" t="s">
        <v>24</v>
      </c>
      <c r="F79" s="7" t="s">
        <v>482</v>
      </c>
      <c r="G79" s="7" t="s">
        <v>482</v>
      </c>
      <c r="H79" s="7" t="s">
        <v>482</v>
      </c>
      <c r="I79" s="7" t="s">
        <v>83</v>
      </c>
      <c r="J79" s="7" t="s">
        <v>52</v>
      </c>
      <c r="K79" s="7" t="s">
        <v>31</v>
      </c>
      <c r="L79" s="7" t="s">
        <v>32</v>
      </c>
      <c r="M79" s="7" t="s">
        <v>55</v>
      </c>
      <c r="N79" s="7" t="s">
        <v>33</v>
      </c>
      <c r="O79" s="7" t="s">
        <v>34</v>
      </c>
      <c r="P79" s="7" t="s">
        <v>35</v>
      </c>
      <c r="Q79" s="7">
        <v>8.0</v>
      </c>
      <c r="R79" s="7">
        <v>1.0</v>
      </c>
      <c r="S79" s="7">
        <v>3.0</v>
      </c>
      <c r="T79" s="5"/>
      <c r="U79" s="5"/>
      <c r="V79" s="5"/>
      <c r="W79" s="5"/>
      <c r="X79" s="5"/>
      <c r="Y79" s="5"/>
      <c r="Z79" s="5"/>
    </row>
    <row r="80" ht="14.25" customHeight="1">
      <c r="A80" s="7" t="s">
        <v>483</v>
      </c>
      <c r="B80" s="7" t="s">
        <v>484</v>
      </c>
      <c r="C80" s="7" t="s">
        <v>485</v>
      </c>
      <c r="D80" s="7" t="s">
        <v>23</v>
      </c>
      <c r="E80" s="7" t="s">
        <v>24</v>
      </c>
      <c r="F80" s="7" t="s">
        <v>486</v>
      </c>
      <c r="G80" s="7" t="s">
        <v>486</v>
      </c>
      <c r="H80" s="7" t="s">
        <v>486</v>
      </c>
      <c r="I80" s="7" t="s">
        <v>83</v>
      </c>
      <c r="J80" s="7" t="s">
        <v>84</v>
      </c>
      <c r="K80" s="7" t="s">
        <v>31</v>
      </c>
      <c r="L80" s="7" t="s">
        <v>32</v>
      </c>
      <c r="M80" s="7" t="s">
        <v>85</v>
      </c>
      <c r="N80" s="7" t="s">
        <v>33</v>
      </c>
      <c r="O80" s="7" t="s">
        <v>34</v>
      </c>
      <c r="P80" s="7" t="s">
        <v>35</v>
      </c>
      <c r="Q80" s="7">
        <v>12.0</v>
      </c>
      <c r="R80" s="7">
        <v>1.0</v>
      </c>
      <c r="S80" s="7">
        <v>3.0</v>
      </c>
      <c r="T80" s="5"/>
      <c r="U80" s="5"/>
      <c r="V80" s="5"/>
      <c r="W80" s="5"/>
      <c r="X80" s="5"/>
      <c r="Y80" s="5"/>
      <c r="Z80" s="5"/>
    </row>
    <row r="81" ht="14.25" customHeight="1">
      <c r="A81" s="7" t="s">
        <v>488</v>
      </c>
      <c r="B81" s="7" t="s">
        <v>489</v>
      </c>
      <c r="C81" s="7" t="s">
        <v>490</v>
      </c>
      <c r="D81" s="7" t="s">
        <v>23</v>
      </c>
      <c r="E81" s="7" t="s">
        <v>24</v>
      </c>
      <c r="F81" s="7" t="s">
        <v>493</v>
      </c>
      <c r="G81" s="7" t="s">
        <v>26</v>
      </c>
      <c r="H81" s="7" t="s">
        <v>493</v>
      </c>
      <c r="I81" s="7" t="s">
        <v>83</v>
      </c>
      <c r="J81" s="7" t="s">
        <v>30</v>
      </c>
      <c r="K81" s="7" t="s">
        <v>31</v>
      </c>
      <c r="L81" s="7" t="s">
        <v>32</v>
      </c>
      <c r="M81" s="7" t="s">
        <v>32</v>
      </c>
      <c r="N81" s="7" t="s">
        <v>33</v>
      </c>
      <c r="O81" s="7" t="s">
        <v>34</v>
      </c>
      <c r="P81" s="7" t="s">
        <v>35</v>
      </c>
      <c r="Q81" s="7">
        <v>18.0</v>
      </c>
      <c r="R81" s="7">
        <v>1.0</v>
      </c>
      <c r="S81" s="7">
        <v>3.0</v>
      </c>
      <c r="T81" s="5"/>
      <c r="U81" s="5"/>
      <c r="V81" s="5"/>
      <c r="W81" s="5"/>
      <c r="X81" s="5"/>
      <c r="Y81" s="5"/>
      <c r="Z81" s="5"/>
    </row>
    <row r="82" ht="14.25" customHeight="1">
      <c r="A82" s="7" t="s">
        <v>497</v>
      </c>
      <c r="B82" s="7" t="s">
        <v>498</v>
      </c>
      <c r="C82" s="7" t="s">
        <v>499</v>
      </c>
      <c r="D82" s="7" t="s">
        <v>23</v>
      </c>
      <c r="E82" s="7" t="s">
        <v>24</v>
      </c>
      <c r="F82" s="7" t="s">
        <v>500</v>
      </c>
      <c r="G82" s="7" t="s">
        <v>501</v>
      </c>
      <c r="H82" s="7" t="s">
        <v>502</v>
      </c>
      <c r="I82" s="7" t="s">
        <v>83</v>
      </c>
      <c r="J82" s="7" t="s">
        <v>30</v>
      </c>
      <c r="K82" s="7" t="s">
        <v>31</v>
      </c>
      <c r="L82" s="7" t="s">
        <v>32</v>
      </c>
      <c r="M82" s="7" t="s">
        <v>32</v>
      </c>
      <c r="N82" s="7" t="s">
        <v>33</v>
      </c>
      <c r="O82" s="7" t="s">
        <v>34</v>
      </c>
      <c r="P82" s="7" t="s">
        <v>35</v>
      </c>
      <c r="Q82" s="7">
        <v>30.0</v>
      </c>
      <c r="R82" s="7">
        <v>2.0</v>
      </c>
      <c r="S82" s="7">
        <v>3.0</v>
      </c>
      <c r="T82" s="5"/>
      <c r="U82" s="5"/>
      <c r="V82" s="5"/>
      <c r="W82" s="5"/>
      <c r="X82" s="5"/>
      <c r="Y82" s="5"/>
      <c r="Z82" s="5"/>
    </row>
    <row r="83" ht="14.25" customHeight="1">
      <c r="A83" s="7" t="s">
        <v>503</v>
      </c>
      <c r="B83" s="7" t="s">
        <v>504</v>
      </c>
      <c r="C83" s="7" t="s">
        <v>505</v>
      </c>
      <c r="D83" s="7" t="s">
        <v>23</v>
      </c>
      <c r="E83" s="7" t="s">
        <v>24</v>
      </c>
      <c r="F83" s="7" t="s">
        <v>506</v>
      </c>
      <c r="G83" s="7" t="s">
        <v>506</v>
      </c>
      <c r="H83" s="7" t="s">
        <v>506</v>
      </c>
      <c r="I83" s="7" t="s">
        <v>83</v>
      </c>
      <c r="J83" s="7" t="s">
        <v>30</v>
      </c>
      <c r="K83" s="7" t="s">
        <v>31</v>
      </c>
      <c r="L83" s="7" t="s">
        <v>32</v>
      </c>
      <c r="M83" s="7" t="s">
        <v>32</v>
      </c>
      <c r="N83" s="7" t="s">
        <v>33</v>
      </c>
      <c r="O83" s="7" t="s">
        <v>34</v>
      </c>
      <c r="P83" s="7" t="s">
        <v>35</v>
      </c>
      <c r="Q83" s="7">
        <v>8.0</v>
      </c>
      <c r="R83" s="7">
        <v>1.0</v>
      </c>
      <c r="S83" s="7">
        <v>3.0</v>
      </c>
      <c r="T83" s="5"/>
      <c r="U83" s="5"/>
      <c r="V83" s="5"/>
      <c r="W83" s="5"/>
      <c r="X83" s="5"/>
      <c r="Y83" s="5"/>
      <c r="Z83" s="5"/>
    </row>
    <row r="84" ht="14.25" customHeight="1">
      <c r="A84" s="7" t="s">
        <v>507</v>
      </c>
      <c r="B84" s="7" t="s">
        <v>508</v>
      </c>
      <c r="C84" s="7" t="s">
        <v>509</v>
      </c>
      <c r="D84" s="7" t="s">
        <v>23</v>
      </c>
      <c r="E84" s="7" t="s">
        <v>24</v>
      </c>
      <c r="F84" s="7" t="s">
        <v>510</v>
      </c>
      <c r="G84" s="7" t="s">
        <v>510</v>
      </c>
      <c r="H84" s="7" t="s">
        <v>510</v>
      </c>
      <c r="I84" s="7" t="s">
        <v>83</v>
      </c>
      <c r="J84" s="7" t="s">
        <v>84</v>
      </c>
      <c r="K84" s="7" t="s">
        <v>31</v>
      </c>
      <c r="L84" s="7" t="s">
        <v>32</v>
      </c>
      <c r="M84" s="7" t="s">
        <v>85</v>
      </c>
      <c r="N84" s="7" t="s">
        <v>33</v>
      </c>
      <c r="O84" s="7" t="s">
        <v>34</v>
      </c>
      <c r="P84" s="7" t="s">
        <v>35</v>
      </c>
      <c r="Q84" s="7">
        <v>3.0</v>
      </c>
      <c r="R84" s="7">
        <v>1.0</v>
      </c>
      <c r="S84" s="7">
        <v>2.0</v>
      </c>
      <c r="T84" s="5"/>
      <c r="U84" s="5"/>
      <c r="V84" s="5"/>
      <c r="W84" s="5"/>
      <c r="X84" s="5"/>
      <c r="Y84" s="5"/>
      <c r="Z84" s="5"/>
    </row>
    <row r="85" ht="14.25" customHeight="1">
      <c r="A85" s="7" t="s">
        <v>511</v>
      </c>
      <c r="B85" s="7" t="s">
        <v>512</v>
      </c>
      <c r="C85" s="7" t="s">
        <v>513</v>
      </c>
      <c r="D85" s="7" t="s">
        <v>23</v>
      </c>
      <c r="E85" s="7" t="s">
        <v>24</v>
      </c>
      <c r="F85" s="7" t="s">
        <v>514</v>
      </c>
      <c r="G85" s="7" t="s">
        <v>514</v>
      </c>
      <c r="H85" s="7" t="s">
        <v>515</v>
      </c>
      <c r="I85" s="7" t="s">
        <v>83</v>
      </c>
      <c r="J85" s="7" t="s">
        <v>30</v>
      </c>
      <c r="K85" s="7" t="s">
        <v>31</v>
      </c>
      <c r="L85" s="7" t="s">
        <v>32</v>
      </c>
      <c r="M85" s="7" t="s">
        <v>32</v>
      </c>
      <c r="N85" s="7" t="s">
        <v>33</v>
      </c>
      <c r="O85" s="7" t="s">
        <v>34</v>
      </c>
      <c r="P85" s="7" t="s">
        <v>35</v>
      </c>
      <c r="Q85" s="7">
        <v>25.0</v>
      </c>
      <c r="R85" s="7">
        <v>2.0</v>
      </c>
      <c r="S85" s="7">
        <v>3.0</v>
      </c>
      <c r="T85" s="5"/>
      <c r="U85" s="5"/>
      <c r="V85" s="5"/>
      <c r="W85" s="5"/>
      <c r="X85" s="5"/>
      <c r="Y85" s="5"/>
      <c r="Z85" s="5"/>
    </row>
    <row r="86" ht="14.25" customHeight="1">
      <c r="A86" s="7" t="s">
        <v>516</v>
      </c>
      <c r="B86" s="7" t="s">
        <v>517</v>
      </c>
      <c r="C86" s="7" t="s">
        <v>518</v>
      </c>
      <c r="D86" s="7" t="s">
        <v>23</v>
      </c>
      <c r="E86" s="7" t="s">
        <v>24</v>
      </c>
      <c r="F86" s="7" t="s">
        <v>519</v>
      </c>
      <c r="G86" s="7" t="s">
        <v>519</v>
      </c>
      <c r="H86" s="7" t="s">
        <v>519</v>
      </c>
      <c r="I86" s="7" t="s">
        <v>29</v>
      </c>
      <c r="J86" s="7" t="s">
        <v>30</v>
      </c>
      <c r="K86" s="7" t="s">
        <v>31</v>
      </c>
      <c r="L86" s="7" t="s">
        <v>32</v>
      </c>
      <c r="M86" s="7" t="s">
        <v>32</v>
      </c>
      <c r="N86" s="7" t="s">
        <v>33</v>
      </c>
      <c r="O86" s="7" t="s">
        <v>34</v>
      </c>
      <c r="P86" s="7" t="s">
        <v>35</v>
      </c>
      <c r="Q86" s="7">
        <v>30.0</v>
      </c>
      <c r="R86" s="7">
        <v>1.0</v>
      </c>
      <c r="S86" s="7">
        <v>3.0</v>
      </c>
      <c r="T86" s="5"/>
      <c r="U86" s="5"/>
      <c r="V86" s="5"/>
      <c r="W86" s="5"/>
      <c r="X86" s="5"/>
      <c r="Y86" s="5"/>
      <c r="Z86" s="5"/>
    </row>
    <row r="87" ht="14.25" customHeight="1">
      <c r="A87" s="7" t="s">
        <v>520</v>
      </c>
      <c r="B87" s="7" t="s">
        <v>521</v>
      </c>
      <c r="C87" s="7" t="s">
        <v>522</v>
      </c>
      <c r="D87" s="7" t="s">
        <v>23</v>
      </c>
      <c r="E87" s="7" t="s">
        <v>24</v>
      </c>
      <c r="F87" s="7" t="s">
        <v>523</v>
      </c>
      <c r="G87" s="7" t="s">
        <v>26</v>
      </c>
      <c r="H87" s="7" t="s">
        <v>524</v>
      </c>
      <c r="I87" s="7" t="s">
        <v>83</v>
      </c>
      <c r="J87" s="7" t="s">
        <v>30</v>
      </c>
      <c r="K87" s="7" t="s">
        <v>31</v>
      </c>
      <c r="L87" s="7" t="s">
        <v>32</v>
      </c>
      <c r="M87" s="7" t="s">
        <v>32</v>
      </c>
      <c r="N87" s="7" t="s">
        <v>33</v>
      </c>
      <c r="O87" s="7" t="s">
        <v>34</v>
      </c>
      <c r="P87" s="7" t="s">
        <v>35</v>
      </c>
      <c r="Q87" s="7">
        <v>8.0</v>
      </c>
      <c r="R87" s="7">
        <v>1.0</v>
      </c>
      <c r="S87" s="7">
        <v>3.0</v>
      </c>
      <c r="T87" s="5"/>
      <c r="U87" s="5"/>
      <c r="V87" s="5"/>
      <c r="W87" s="5"/>
      <c r="X87" s="5"/>
      <c r="Y87" s="5"/>
      <c r="Z87" s="5"/>
    </row>
    <row r="88" ht="14.25" customHeight="1">
      <c r="A88" s="7" t="s">
        <v>525</v>
      </c>
      <c r="B88" s="7" t="s">
        <v>526</v>
      </c>
      <c r="C88" s="7" t="s">
        <v>527</v>
      </c>
      <c r="D88" s="7" t="s">
        <v>23</v>
      </c>
      <c r="E88" s="7" t="s">
        <v>24</v>
      </c>
      <c r="F88" s="7" t="s">
        <v>528</v>
      </c>
      <c r="G88" s="7" t="s">
        <v>26</v>
      </c>
      <c r="H88" s="7" t="s">
        <v>528</v>
      </c>
      <c r="I88" s="7" t="s">
        <v>83</v>
      </c>
      <c r="J88" s="7" t="s">
        <v>30</v>
      </c>
      <c r="K88" s="7" t="s">
        <v>31</v>
      </c>
      <c r="L88" s="7" t="s">
        <v>32</v>
      </c>
      <c r="M88" s="7" t="s">
        <v>32</v>
      </c>
      <c r="N88" s="7" t="s">
        <v>33</v>
      </c>
      <c r="O88" s="7" t="s">
        <v>34</v>
      </c>
      <c r="P88" s="7" t="s">
        <v>35</v>
      </c>
      <c r="Q88" s="7">
        <v>19.0</v>
      </c>
      <c r="R88" s="7">
        <v>1.0</v>
      </c>
      <c r="S88" s="7">
        <v>3.0</v>
      </c>
      <c r="T88" s="5"/>
      <c r="U88" s="5"/>
      <c r="V88" s="5"/>
      <c r="W88" s="5"/>
      <c r="X88" s="5"/>
      <c r="Y88" s="5"/>
      <c r="Z88" s="5"/>
    </row>
    <row r="89" ht="14.25" customHeight="1">
      <c r="A89" s="7" t="s">
        <v>529</v>
      </c>
      <c r="B89" s="7" t="s">
        <v>530</v>
      </c>
      <c r="C89" s="7" t="s">
        <v>531</v>
      </c>
      <c r="D89" s="7" t="s">
        <v>23</v>
      </c>
      <c r="E89" s="7" t="s">
        <v>24</v>
      </c>
      <c r="F89" s="7" t="s">
        <v>532</v>
      </c>
      <c r="G89" s="7" t="s">
        <v>26</v>
      </c>
      <c r="H89" s="7" t="s">
        <v>532</v>
      </c>
      <c r="I89" s="7" t="s">
        <v>29</v>
      </c>
      <c r="J89" s="7" t="s">
        <v>30</v>
      </c>
      <c r="K89" s="7" t="s">
        <v>31</v>
      </c>
      <c r="L89" s="7" t="s">
        <v>32</v>
      </c>
      <c r="M89" s="7" t="s">
        <v>32</v>
      </c>
      <c r="N89" s="7" t="s">
        <v>33</v>
      </c>
      <c r="O89" s="7" t="s">
        <v>34</v>
      </c>
      <c r="P89" s="7" t="s">
        <v>35</v>
      </c>
      <c r="Q89" s="7">
        <v>13.0</v>
      </c>
      <c r="R89" s="7">
        <v>1.0</v>
      </c>
      <c r="S89" s="7">
        <v>3.0</v>
      </c>
      <c r="T89" s="5"/>
      <c r="U89" s="5"/>
      <c r="V89" s="5"/>
      <c r="W89" s="5"/>
      <c r="X89" s="5"/>
      <c r="Y89" s="5"/>
      <c r="Z89" s="5"/>
    </row>
    <row r="90" ht="14.25" customHeight="1">
      <c r="A90" s="7" t="s">
        <v>533</v>
      </c>
      <c r="B90" s="7" t="s">
        <v>534</v>
      </c>
      <c r="C90" s="7" t="s">
        <v>535</v>
      </c>
      <c r="D90" s="7" t="s">
        <v>23</v>
      </c>
      <c r="E90" s="7" t="s">
        <v>24</v>
      </c>
      <c r="F90" s="7" t="s">
        <v>536</v>
      </c>
      <c r="G90" s="7" t="s">
        <v>536</v>
      </c>
      <c r="H90" s="7" t="s">
        <v>537</v>
      </c>
      <c r="I90" s="7" t="s">
        <v>83</v>
      </c>
      <c r="J90" s="7" t="s">
        <v>30</v>
      </c>
      <c r="K90" s="7" t="s">
        <v>31</v>
      </c>
      <c r="L90" s="7" t="s">
        <v>32</v>
      </c>
      <c r="M90" s="7" t="s">
        <v>32</v>
      </c>
      <c r="N90" s="7" t="s">
        <v>33</v>
      </c>
      <c r="O90" s="7" t="s">
        <v>34</v>
      </c>
      <c r="P90" s="7" t="s">
        <v>35</v>
      </c>
      <c r="Q90" s="7">
        <v>8.0</v>
      </c>
      <c r="R90" s="7">
        <v>1.0</v>
      </c>
      <c r="S90" s="7">
        <v>3.0</v>
      </c>
      <c r="T90" s="5"/>
      <c r="U90" s="5"/>
      <c r="V90" s="5"/>
      <c r="W90" s="5"/>
      <c r="X90" s="5"/>
      <c r="Y90" s="5"/>
      <c r="Z90" s="5"/>
    </row>
    <row r="91" ht="14.25" customHeight="1">
      <c r="A91" s="7" t="s">
        <v>539</v>
      </c>
      <c r="B91" s="7" t="s">
        <v>540</v>
      </c>
      <c r="C91" s="7" t="s">
        <v>541</v>
      </c>
      <c r="D91" s="7" t="s">
        <v>23</v>
      </c>
      <c r="E91" s="7" t="s">
        <v>24</v>
      </c>
      <c r="F91" s="7" t="s">
        <v>542</v>
      </c>
      <c r="G91" s="7" t="s">
        <v>26</v>
      </c>
      <c r="H91" s="7" t="s">
        <v>544</v>
      </c>
      <c r="I91" s="7" t="s">
        <v>29</v>
      </c>
      <c r="J91" s="7" t="s">
        <v>30</v>
      </c>
      <c r="K91" s="7" t="s">
        <v>31</v>
      </c>
      <c r="L91" s="7" t="s">
        <v>32</v>
      </c>
      <c r="M91" s="7" t="s">
        <v>32</v>
      </c>
      <c r="N91" s="7" t="s">
        <v>33</v>
      </c>
      <c r="O91" s="7" t="s">
        <v>34</v>
      </c>
      <c r="P91" s="7" t="s">
        <v>35</v>
      </c>
      <c r="Q91" s="7">
        <v>30.0</v>
      </c>
      <c r="R91" s="7">
        <v>2.0</v>
      </c>
      <c r="S91" s="7">
        <v>3.0</v>
      </c>
      <c r="T91" s="5"/>
      <c r="U91" s="5"/>
      <c r="V91" s="5"/>
      <c r="W91" s="5"/>
      <c r="X91" s="5"/>
      <c r="Y91" s="5"/>
      <c r="Z91" s="5"/>
    </row>
    <row r="92" ht="14.25" customHeight="1">
      <c r="A92" s="7" t="s">
        <v>547</v>
      </c>
      <c r="B92" s="7" t="s">
        <v>548</v>
      </c>
      <c r="C92" s="7" t="s">
        <v>549</v>
      </c>
      <c r="D92" s="7" t="s">
        <v>23</v>
      </c>
      <c r="E92" s="7" t="s">
        <v>24</v>
      </c>
      <c r="F92" s="7" t="s">
        <v>550</v>
      </c>
      <c r="G92" s="7" t="s">
        <v>26</v>
      </c>
      <c r="H92" s="7" t="s">
        <v>552</v>
      </c>
      <c r="I92" s="7" t="s">
        <v>29</v>
      </c>
      <c r="J92" s="7" t="s">
        <v>30</v>
      </c>
      <c r="K92" s="7" t="s">
        <v>31</v>
      </c>
      <c r="L92" s="7" t="s">
        <v>32</v>
      </c>
      <c r="M92" s="7" t="s">
        <v>32</v>
      </c>
      <c r="N92" s="7" t="s">
        <v>33</v>
      </c>
      <c r="O92" s="7" t="s">
        <v>34</v>
      </c>
      <c r="P92" s="7" t="s">
        <v>35</v>
      </c>
      <c r="Q92" s="7">
        <v>24.0</v>
      </c>
      <c r="R92" s="7">
        <v>1.0</v>
      </c>
      <c r="S92" s="7">
        <v>3.0</v>
      </c>
      <c r="T92" s="5"/>
      <c r="U92" s="5"/>
      <c r="V92" s="5"/>
      <c r="W92" s="5"/>
      <c r="X92" s="5"/>
      <c r="Y92" s="5"/>
      <c r="Z92" s="5"/>
    </row>
    <row r="93" ht="14.25" customHeight="1">
      <c r="A93" s="7" t="s">
        <v>556</v>
      </c>
      <c r="B93" s="7" t="s">
        <v>557</v>
      </c>
      <c r="C93" s="7" t="s">
        <v>558</v>
      </c>
      <c r="D93" s="7" t="s">
        <v>23</v>
      </c>
      <c r="E93" s="7" t="s">
        <v>24</v>
      </c>
      <c r="F93" s="7" t="s">
        <v>559</v>
      </c>
      <c r="G93" s="7" t="s">
        <v>559</v>
      </c>
      <c r="H93" s="7" t="s">
        <v>559</v>
      </c>
      <c r="I93" s="7" t="s">
        <v>29</v>
      </c>
      <c r="J93" s="7" t="s">
        <v>30</v>
      </c>
      <c r="K93" s="7" t="s">
        <v>31</v>
      </c>
      <c r="L93" s="7" t="s">
        <v>32</v>
      </c>
      <c r="M93" s="7" t="s">
        <v>32</v>
      </c>
      <c r="N93" s="7" t="s">
        <v>33</v>
      </c>
      <c r="O93" s="7" t="s">
        <v>34</v>
      </c>
      <c r="P93" s="7" t="s">
        <v>35</v>
      </c>
      <c r="Q93" s="7">
        <v>25.0</v>
      </c>
      <c r="R93" s="7">
        <v>1.0</v>
      </c>
      <c r="S93" s="7">
        <v>3.0</v>
      </c>
      <c r="T93" s="5"/>
      <c r="U93" s="5"/>
      <c r="V93" s="5"/>
      <c r="W93" s="5"/>
      <c r="X93" s="5"/>
      <c r="Y93" s="5"/>
      <c r="Z93" s="5"/>
    </row>
    <row r="94" ht="14.25" customHeight="1">
      <c r="A94" s="7" t="s">
        <v>560</v>
      </c>
      <c r="B94" s="7" t="s">
        <v>561</v>
      </c>
      <c r="C94" s="7" t="s">
        <v>562</v>
      </c>
      <c r="D94" s="7" t="s">
        <v>23</v>
      </c>
      <c r="E94" s="7" t="s">
        <v>24</v>
      </c>
      <c r="F94" s="7" t="s">
        <v>563</v>
      </c>
      <c r="G94" s="7" t="s">
        <v>563</v>
      </c>
      <c r="H94" s="7" t="s">
        <v>563</v>
      </c>
      <c r="I94" s="7" t="s">
        <v>83</v>
      </c>
      <c r="J94" s="7" t="s">
        <v>30</v>
      </c>
      <c r="K94" s="7" t="s">
        <v>31</v>
      </c>
      <c r="L94" s="7" t="s">
        <v>32</v>
      </c>
      <c r="M94" s="7" t="s">
        <v>32</v>
      </c>
      <c r="N94" s="7" t="s">
        <v>33</v>
      </c>
      <c r="O94" s="7" t="s">
        <v>34</v>
      </c>
      <c r="P94" s="7" t="s">
        <v>35</v>
      </c>
      <c r="Q94" s="7">
        <v>9.0</v>
      </c>
      <c r="R94" s="7">
        <v>1.0</v>
      </c>
      <c r="S94" s="7">
        <v>3.0</v>
      </c>
      <c r="T94" s="5"/>
      <c r="U94" s="5"/>
      <c r="V94" s="5"/>
      <c r="W94" s="5"/>
      <c r="X94" s="5"/>
      <c r="Y94" s="5"/>
      <c r="Z94" s="5"/>
    </row>
    <row r="95" ht="14.25" customHeight="1">
      <c r="A95" s="7" t="s">
        <v>564</v>
      </c>
      <c r="B95" s="7" t="s">
        <v>565</v>
      </c>
      <c r="C95" s="7" t="s">
        <v>566</v>
      </c>
      <c r="D95" s="7" t="s">
        <v>23</v>
      </c>
      <c r="E95" s="7" t="s">
        <v>24</v>
      </c>
      <c r="F95" s="7" t="s">
        <v>567</v>
      </c>
      <c r="G95" s="7" t="s">
        <v>567</v>
      </c>
      <c r="H95" s="7" t="s">
        <v>567</v>
      </c>
      <c r="I95" s="7" t="s">
        <v>29</v>
      </c>
      <c r="J95" s="7" t="s">
        <v>30</v>
      </c>
      <c r="K95" s="7" t="s">
        <v>31</v>
      </c>
      <c r="L95" s="7" t="s">
        <v>32</v>
      </c>
      <c r="M95" s="7" t="s">
        <v>32</v>
      </c>
      <c r="N95" s="7" t="s">
        <v>33</v>
      </c>
      <c r="O95" s="7" t="s">
        <v>34</v>
      </c>
      <c r="P95" s="7" t="s">
        <v>35</v>
      </c>
      <c r="Q95" s="7">
        <v>13.0</v>
      </c>
      <c r="R95" s="7">
        <v>1.0</v>
      </c>
      <c r="S95" s="7">
        <v>3.0</v>
      </c>
      <c r="T95" s="5"/>
      <c r="U95" s="5"/>
      <c r="V95" s="5"/>
      <c r="W95" s="5"/>
      <c r="X95" s="5"/>
      <c r="Y95" s="5"/>
      <c r="Z95" s="5"/>
    </row>
    <row r="96" ht="14.25" customHeight="1">
      <c r="A96" s="7" t="s">
        <v>568</v>
      </c>
      <c r="B96" s="7" t="s">
        <v>569</v>
      </c>
      <c r="C96" s="7" t="s">
        <v>570</v>
      </c>
      <c r="D96" s="7" t="s">
        <v>23</v>
      </c>
      <c r="E96" s="7" t="s">
        <v>24</v>
      </c>
      <c r="F96" s="7" t="s">
        <v>572</v>
      </c>
      <c r="G96" s="7" t="s">
        <v>572</v>
      </c>
      <c r="H96" s="7" t="s">
        <v>572</v>
      </c>
      <c r="I96" s="7" t="s">
        <v>83</v>
      </c>
      <c r="J96" s="7" t="s">
        <v>84</v>
      </c>
      <c r="K96" s="7" t="s">
        <v>31</v>
      </c>
      <c r="L96" s="7" t="s">
        <v>32</v>
      </c>
      <c r="M96" s="7" t="s">
        <v>85</v>
      </c>
      <c r="N96" s="7" t="s">
        <v>33</v>
      </c>
      <c r="O96" s="7" t="s">
        <v>34</v>
      </c>
      <c r="P96" s="7" t="s">
        <v>35</v>
      </c>
      <c r="Q96" s="7">
        <v>6.0</v>
      </c>
      <c r="R96" s="7">
        <v>1.0</v>
      </c>
      <c r="S96" s="7">
        <v>3.0</v>
      </c>
      <c r="T96" s="5"/>
      <c r="U96" s="5"/>
      <c r="V96" s="5"/>
      <c r="W96" s="5"/>
      <c r="X96" s="5"/>
      <c r="Y96" s="5"/>
      <c r="Z96" s="5"/>
    </row>
    <row r="97" ht="14.25" customHeight="1">
      <c r="A97" s="7" t="s">
        <v>573</v>
      </c>
      <c r="B97" s="7" t="s">
        <v>574</v>
      </c>
      <c r="C97" s="7" t="s">
        <v>575</v>
      </c>
      <c r="D97" s="7" t="s">
        <v>23</v>
      </c>
      <c r="E97" s="7" t="s">
        <v>24</v>
      </c>
      <c r="F97" s="7" t="s">
        <v>576</v>
      </c>
      <c r="G97" s="7" t="s">
        <v>576</v>
      </c>
      <c r="H97" s="7" t="s">
        <v>576</v>
      </c>
      <c r="I97" s="7" t="s">
        <v>83</v>
      </c>
      <c r="J97" s="7" t="s">
        <v>30</v>
      </c>
      <c r="K97" s="7" t="s">
        <v>31</v>
      </c>
      <c r="L97" s="7" t="s">
        <v>32</v>
      </c>
      <c r="M97" s="7" t="s">
        <v>32</v>
      </c>
      <c r="N97" s="7" t="s">
        <v>33</v>
      </c>
      <c r="O97" s="7" t="s">
        <v>34</v>
      </c>
      <c r="P97" s="7" t="s">
        <v>35</v>
      </c>
      <c r="Q97" s="7">
        <v>20.0</v>
      </c>
      <c r="R97" s="7">
        <v>1.0</v>
      </c>
      <c r="S97" s="7">
        <v>3.0</v>
      </c>
      <c r="T97" s="5"/>
      <c r="U97" s="5"/>
      <c r="V97" s="5"/>
      <c r="W97" s="5"/>
      <c r="X97" s="5"/>
      <c r="Y97" s="5"/>
      <c r="Z97" s="5"/>
    </row>
    <row r="98" ht="14.25" customHeight="1">
      <c r="A98" s="7" t="s">
        <v>577</v>
      </c>
      <c r="B98" s="7" t="s">
        <v>578</v>
      </c>
      <c r="C98" s="7" t="s">
        <v>579</v>
      </c>
      <c r="D98" s="7" t="s">
        <v>23</v>
      </c>
      <c r="E98" s="7" t="s">
        <v>24</v>
      </c>
      <c r="F98" s="7" t="s">
        <v>580</v>
      </c>
      <c r="G98" s="7" t="s">
        <v>580</v>
      </c>
      <c r="H98" s="7" t="s">
        <v>580</v>
      </c>
      <c r="I98" s="7" t="s">
        <v>29</v>
      </c>
      <c r="J98" s="7" t="s">
        <v>30</v>
      </c>
      <c r="K98" s="7" t="s">
        <v>31</v>
      </c>
      <c r="L98" s="7" t="s">
        <v>32</v>
      </c>
      <c r="M98" s="7" t="s">
        <v>32</v>
      </c>
      <c r="N98" s="7" t="s">
        <v>33</v>
      </c>
      <c r="O98" s="7" t="s">
        <v>34</v>
      </c>
      <c r="P98" s="7" t="s">
        <v>35</v>
      </c>
      <c r="Q98" s="7">
        <v>27.0</v>
      </c>
      <c r="R98" s="7">
        <v>2.0</v>
      </c>
      <c r="S98" s="7">
        <v>3.0</v>
      </c>
      <c r="T98" s="5"/>
      <c r="U98" s="5"/>
      <c r="V98" s="5"/>
      <c r="W98" s="5"/>
      <c r="X98" s="5"/>
      <c r="Y98" s="5"/>
      <c r="Z98" s="5"/>
    </row>
    <row r="99" ht="14.25" customHeight="1">
      <c r="A99" s="7" t="s">
        <v>581</v>
      </c>
      <c r="B99" s="7" t="s">
        <v>582</v>
      </c>
      <c r="C99" s="7" t="s">
        <v>583</v>
      </c>
      <c r="D99" s="7" t="s">
        <v>23</v>
      </c>
      <c r="E99" s="7" t="s">
        <v>24</v>
      </c>
      <c r="F99" s="7" t="s">
        <v>584</v>
      </c>
      <c r="G99" s="7" t="s">
        <v>26</v>
      </c>
      <c r="H99" s="7" t="s">
        <v>584</v>
      </c>
      <c r="I99" s="7" t="s">
        <v>83</v>
      </c>
      <c r="J99" s="7" t="s">
        <v>168</v>
      </c>
      <c r="K99" s="7" t="s">
        <v>31</v>
      </c>
      <c r="L99" s="7" t="s">
        <v>32</v>
      </c>
      <c r="M99" s="7" t="s">
        <v>169</v>
      </c>
      <c r="N99" s="7" t="s">
        <v>33</v>
      </c>
      <c r="O99" s="7" t="s">
        <v>34</v>
      </c>
      <c r="P99" s="7" t="s">
        <v>35</v>
      </c>
      <c r="Q99" s="7">
        <v>10.0</v>
      </c>
      <c r="R99" s="7">
        <v>1.0</v>
      </c>
      <c r="S99" s="7">
        <v>3.0</v>
      </c>
      <c r="T99" s="5"/>
      <c r="U99" s="5"/>
      <c r="V99" s="5"/>
      <c r="W99" s="5"/>
      <c r="X99" s="5"/>
      <c r="Y99" s="5"/>
      <c r="Z99" s="5"/>
    </row>
    <row r="100" ht="14.25" customHeight="1">
      <c r="A100" s="7" t="s">
        <v>585</v>
      </c>
      <c r="B100" s="7" t="s">
        <v>586</v>
      </c>
      <c r="C100" s="7" t="s">
        <v>587</v>
      </c>
      <c r="D100" s="7" t="s">
        <v>23</v>
      </c>
      <c r="E100" s="7" t="s">
        <v>24</v>
      </c>
      <c r="F100" s="7" t="s">
        <v>588</v>
      </c>
      <c r="G100" s="7" t="s">
        <v>26</v>
      </c>
      <c r="H100" s="7" t="s">
        <v>589</v>
      </c>
      <c r="I100" s="7" t="s">
        <v>83</v>
      </c>
      <c r="J100" s="7" t="s">
        <v>168</v>
      </c>
      <c r="K100" s="7" t="s">
        <v>31</v>
      </c>
      <c r="L100" s="7" t="s">
        <v>32</v>
      </c>
      <c r="M100" s="7" t="s">
        <v>169</v>
      </c>
      <c r="N100" s="7" t="s">
        <v>33</v>
      </c>
      <c r="O100" s="7" t="s">
        <v>34</v>
      </c>
      <c r="P100" s="7" t="s">
        <v>35</v>
      </c>
      <c r="Q100" s="7">
        <v>18.0</v>
      </c>
      <c r="R100" s="7">
        <v>1.0</v>
      </c>
      <c r="S100" s="7">
        <v>3.0</v>
      </c>
      <c r="T100" s="5"/>
      <c r="U100" s="5"/>
      <c r="V100" s="5"/>
      <c r="W100" s="5"/>
      <c r="X100" s="5"/>
      <c r="Y100" s="5"/>
      <c r="Z100" s="5"/>
    </row>
    <row r="101" ht="14.25" customHeight="1">
      <c r="A101" s="7" t="s">
        <v>590</v>
      </c>
      <c r="B101" s="7" t="s">
        <v>591</v>
      </c>
      <c r="C101" s="7" t="s">
        <v>592</v>
      </c>
      <c r="D101" s="7" t="s">
        <v>23</v>
      </c>
      <c r="E101" s="7" t="s">
        <v>24</v>
      </c>
      <c r="F101" s="7" t="s">
        <v>593</v>
      </c>
      <c r="G101" s="7" t="s">
        <v>26</v>
      </c>
      <c r="H101" s="7" t="s">
        <v>593</v>
      </c>
      <c r="I101" s="7" t="s">
        <v>83</v>
      </c>
      <c r="J101" s="7" t="s">
        <v>168</v>
      </c>
      <c r="K101" s="7" t="s">
        <v>31</v>
      </c>
      <c r="L101" s="7" t="s">
        <v>32</v>
      </c>
      <c r="M101" s="7" t="s">
        <v>169</v>
      </c>
      <c r="N101" s="7" t="s">
        <v>33</v>
      </c>
      <c r="O101" s="7" t="s">
        <v>34</v>
      </c>
      <c r="P101" s="7" t="s">
        <v>35</v>
      </c>
      <c r="Q101" s="7">
        <v>16.0</v>
      </c>
      <c r="R101" s="7">
        <v>1.0</v>
      </c>
      <c r="S101" s="7">
        <v>3.0</v>
      </c>
      <c r="T101" s="5"/>
      <c r="U101" s="5"/>
      <c r="V101" s="5"/>
      <c r="W101" s="5"/>
      <c r="X101" s="5"/>
      <c r="Y101" s="5"/>
      <c r="Z101" s="5"/>
    </row>
    <row r="102" ht="14.25" customHeight="1">
      <c r="A102" s="7" t="s">
        <v>594</v>
      </c>
      <c r="B102" s="7" t="s">
        <v>595</v>
      </c>
      <c r="C102" s="7" t="s">
        <v>596</v>
      </c>
      <c r="D102" s="7" t="s">
        <v>23</v>
      </c>
      <c r="E102" s="7" t="s">
        <v>24</v>
      </c>
      <c r="F102" s="7" t="s">
        <v>597</v>
      </c>
      <c r="G102" s="7" t="s">
        <v>26</v>
      </c>
      <c r="H102" s="7" t="s">
        <v>598</v>
      </c>
      <c r="I102" s="7" t="s">
        <v>29</v>
      </c>
      <c r="J102" s="7" t="s">
        <v>162</v>
      </c>
      <c r="K102" s="7" t="s">
        <v>31</v>
      </c>
      <c r="L102" s="7" t="s">
        <v>32</v>
      </c>
      <c r="M102" s="7" t="s">
        <v>163</v>
      </c>
      <c r="N102" s="7" t="s">
        <v>33</v>
      </c>
      <c r="O102" s="7" t="s">
        <v>34</v>
      </c>
      <c r="P102" s="7" t="s">
        <v>35</v>
      </c>
      <c r="Q102" s="7">
        <v>11.0</v>
      </c>
      <c r="R102" s="7">
        <v>1.0</v>
      </c>
      <c r="S102" s="7">
        <v>3.0</v>
      </c>
      <c r="T102" s="5"/>
      <c r="U102" s="5"/>
      <c r="V102" s="5"/>
      <c r="W102" s="5"/>
      <c r="X102" s="5"/>
      <c r="Y102" s="5"/>
      <c r="Z102" s="5"/>
    </row>
    <row r="103" ht="14.25" customHeight="1">
      <c r="A103" s="7" t="s">
        <v>599</v>
      </c>
      <c r="B103" s="7" t="s">
        <v>600</v>
      </c>
      <c r="C103" s="7" t="s">
        <v>601</v>
      </c>
      <c r="D103" s="7" t="s">
        <v>23</v>
      </c>
      <c r="E103" s="7" t="s">
        <v>24</v>
      </c>
      <c r="F103" s="7" t="s">
        <v>602</v>
      </c>
      <c r="G103" s="7" t="s">
        <v>26</v>
      </c>
      <c r="H103" s="7" t="s">
        <v>602</v>
      </c>
      <c r="I103" s="7" t="s">
        <v>83</v>
      </c>
      <c r="J103" s="7" t="s">
        <v>168</v>
      </c>
      <c r="K103" s="7" t="s">
        <v>31</v>
      </c>
      <c r="L103" s="7" t="s">
        <v>32</v>
      </c>
      <c r="M103" s="7" t="s">
        <v>169</v>
      </c>
      <c r="N103" s="7" t="s">
        <v>33</v>
      </c>
      <c r="O103" s="7" t="s">
        <v>34</v>
      </c>
      <c r="P103" s="7" t="s">
        <v>35</v>
      </c>
      <c r="Q103" s="7">
        <v>7.0</v>
      </c>
      <c r="R103" s="7">
        <v>1.0</v>
      </c>
      <c r="S103" s="7">
        <v>3.0</v>
      </c>
      <c r="T103" s="5"/>
      <c r="U103" s="5"/>
      <c r="V103" s="5"/>
      <c r="W103" s="5"/>
      <c r="X103" s="5"/>
      <c r="Y103" s="5"/>
      <c r="Z103" s="5"/>
    </row>
    <row r="104" ht="14.25" customHeight="1">
      <c r="A104" s="7" t="s">
        <v>603</v>
      </c>
      <c r="B104" s="7" t="s">
        <v>604</v>
      </c>
      <c r="C104" s="7" t="s">
        <v>605</v>
      </c>
      <c r="D104" s="7" t="s">
        <v>23</v>
      </c>
      <c r="E104" s="7" t="s">
        <v>24</v>
      </c>
      <c r="F104" s="7" t="s">
        <v>606</v>
      </c>
      <c r="G104" s="7" t="s">
        <v>26</v>
      </c>
      <c r="H104" s="7" t="s">
        <v>607</v>
      </c>
      <c r="I104" s="7" t="s">
        <v>83</v>
      </c>
      <c r="J104" s="7" t="s">
        <v>162</v>
      </c>
      <c r="K104" s="7" t="s">
        <v>31</v>
      </c>
      <c r="L104" s="7" t="s">
        <v>32</v>
      </c>
      <c r="M104" s="7" t="s">
        <v>163</v>
      </c>
      <c r="N104" s="7" t="s">
        <v>33</v>
      </c>
      <c r="O104" s="7" t="s">
        <v>34</v>
      </c>
      <c r="P104" s="7" t="s">
        <v>35</v>
      </c>
      <c r="Q104" s="7">
        <v>8.0</v>
      </c>
      <c r="R104" s="7">
        <v>1.0</v>
      </c>
      <c r="S104" s="7">
        <v>3.0</v>
      </c>
      <c r="T104" s="5"/>
      <c r="U104" s="5"/>
      <c r="V104" s="5"/>
      <c r="W104" s="5"/>
      <c r="X104" s="5"/>
      <c r="Y104" s="5"/>
      <c r="Z104" s="5"/>
    </row>
    <row r="105" ht="14.25" customHeight="1">
      <c r="A105" s="7" t="s">
        <v>608</v>
      </c>
      <c r="B105" s="7" t="s">
        <v>609</v>
      </c>
      <c r="C105" s="7" t="s">
        <v>610</v>
      </c>
      <c r="D105" s="7" t="s">
        <v>23</v>
      </c>
      <c r="E105" s="7" t="s">
        <v>24</v>
      </c>
      <c r="F105" s="7" t="s">
        <v>611</v>
      </c>
      <c r="G105" s="7" t="s">
        <v>26</v>
      </c>
      <c r="H105" s="7" t="s">
        <v>612</v>
      </c>
      <c r="I105" s="7" t="s">
        <v>83</v>
      </c>
      <c r="J105" s="7" t="s">
        <v>168</v>
      </c>
      <c r="K105" s="7" t="s">
        <v>31</v>
      </c>
      <c r="L105" s="7" t="s">
        <v>32</v>
      </c>
      <c r="M105" s="7" t="s">
        <v>169</v>
      </c>
      <c r="N105" s="7" t="s">
        <v>33</v>
      </c>
      <c r="O105" s="7" t="s">
        <v>34</v>
      </c>
      <c r="P105" s="7" t="s">
        <v>35</v>
      </c>
      <c r="Q105" s="7">
        <v>22.0</v>
      </c>
      <c r="R105" s="7">
        <v>2.0</v>
      </c>
      <c r="S105" s="7">
        <v>3.0</v>
      </c>
      <c r="T105" s="5"/>
      <c r="U105" s="5"/>
      <c r="V105" s="5"/>
      <c r="W105" s="5"/>
      <c r="X105" s="5"/>
      <c r="Y105" s="5"/>
      <c r="Z105" s="5"/>
    </row>
    <row r="106" ht="14.25" customHeight="1">
      <c r="A106" s="7" t="s">
        <v>613</v>
      </c>
      <c r="B106" s="7" t="s">
        <v>614</v>
      </c>
      <c r="C106" s="7" t="s">
        <v>615</v>
      </c>
      <c r="D106" s="7" t="s">
        <v>23</v>
      </c>
      <c r="E106" s="7" t="s">
        <v>24</v>
      </c>
      <c r="F106" s="7" t="s">
        <v>616</v>
      </c>
      <c r="G106" s="7" t="s">
        <v>26</v>
      </c>
      <c r="H106" s="7" t="s">
        <v>616</v>
      </c>
      <c r="I106" s="7" t="s">
        <v>83</v>
      </c>
      <c r="J106" s="7" t="s">
        <v>162</v>
      </c>
      <c r="K106" s="7" t="s">
        <v>31</v>
      </c>
      <c r="L106" s="7" t="s">
        <v>32</v>
      </c>
      <c r="M106" s="7" t="s">
        <v>163</v>
      </c>
      <c r="N106" s="7" t="s">
        <v>33</v>
      </c>
      <c r="O106" s="7" t="s">
        <v>34</v>
      </c>
      <c r="P106" s="7" t="s">
        <v>35</v>
      </c>
      <c r="Q106" s="7">
        <v>8.0</v>
      </c>
      <c r="R106" s="7">
        <v>1.0</v>
      </c>
      <c r="S106" s="7">
        <v>3.0</v>
      </c>
      <c r="T106" s="5"/>
      <c r="U106" s="5"/>
      <c r="V106" s="5"/>
      <c r="W106" s="5"/>
      <c r="X106" s="5"/>
      <c r="Y106" s="5"/>
      <c r="Z106" s="5"/>
    </row>
    <row r="107" ht="14.25" customHeight="1">
      <c r="A107" s="7" t="s">
        <v>617</v>
      </c>
      <c r="B107" s="7" t="s">
        <v>618</v>
      </c>
      <c r="C107" s="7" t="s">
        <v>619</v>
      </c>
      <c r="D107" s="7" t="s">
        <v>23</v>
      </c>
      <c r="E107" s="7" t="s">
        <v>24</v>
      </c>
      <c r="F107" s="7" t="s">
        <v>620</v>
      </c>
      <c r="G107" s="7" t="s">
        <v>26</v>
      </c>
      <c r="H107" s="7" t="s">
        <v>620</v>
      </c>
      <c r="I107" s="7" t="s">
        <v>83</v>
      </c>
      <c r="J107" s="7" t="s">
        <v>162</v>
      </c>
      <c r="K107" s="7" t="s">
        <v>31</v>
      </c>
      <c r="L107" s="7" t="s">
        <v>32</v>
      </c>
      <c r="M107" s="7" t="s">
        <v>163</v>
      </c>
      <c r="N107" s="7" t="s">
        <v>33</v>
      </c>
      <c r="O107" s="7" t="s">
        <v>34</v>
      </c>
      <c r="P107" s="7" t="s">
        <v>35</v>
      </c>
      <c r="Q107" s="7">
        <v>7.0</v>
      </c>
      <c r="R107" s="7">
        <v>1.0</v>
      </c>
      <c r="S107" s="7">
        <v>3.0</v>
      </c>
      <c r="T107" s="5"/>
      <c r="U107" s="5"/>
      <c r="V107" s="5"/>
      <c r="W107" s="5"/>
      <c r="X107" s="5"/>
      <c r="Y107" s="5"/>
      <c r="Z107" s="5"/>
    </row>
    <row r="108" ht="14.25" customHeight="1">
      <c r="A108" s="7" t="s">
        <v>621</v>
      </c>
      <c r="B108" s="7" t="s">
        <v>622</v>
      </c>
      <c r="C108" s="7" t="s">
        <v>623</v>
      </c>
      <c r="D108" s="7" t="s">
        <v>23</v>
      </c>
      <c r="E108" s="7" t="s">
        <v>24</v>
      </c>
      <c r="F108" s="7" t="s">
        <v>624</v>
      </c>
      <c r="G108" s="7" t="s">
        <v>26</v>
      </c>
      <c r="H108" s="7" t="s">
        <v>624</v>
      </c>
      <c r="I108" s="7" t="s">
        <v>83</v>
      </c>
      <c r="J108" s="7" t="s">
        <v>112</v>
      </c>
      <c r="K108" s="7" t="s">
        <v>31</v>
      </c>
      <c r="L108" s="7" t="s">
        <v>32</v>
      </c>
      <c r="M108" s="7" t="s">
        <v>113</v>
      </c>
      <c r="N108" s="7" t="s">
        <v>33</v>
      </c>
      <c r="O108" s="7" t="s">
        <v>34</v>
      </c>
      <c r="P108" s="7" t="s">
        <v>35</v>
      </c>
      <c r="Q108" s="7">
        <v>16.0</v>
      </c>
      <c r="R108" s="7">
        <v>1.0</v>
      </c>
      <c r="S108" s="7">
        <v>3.0</v>
      </c>
      <c r="T108" s="5"/>
      <c r="U108" s="5"/>
      <c r="V108" s="5"/>
      <c r="W108" s="5"/>
      <c r="X108" s="5"/>
      <c r="Y108" s="5"/>
      <c r="Z108" s="5"/>
    </row>
    <row r="109" ht="14.25" customHeight="1">
      <c r="A109" s="7" t="s">
        <v>625</v>
      </c>
      <c r="B109" s="7" t="s">
        <v>626</v>
      </c>
      <c r="C109" s="7" t="s">
        <v>627</v>
      </c>
      <c r="D109" s="7" t="s">
        <v>23</v>
      </c>
      <c r="E109" s="7" t="s">
        <v>24</v>
      </c>
      <c r="F109" s="7" t="s">
        <v>628</v>
      </c>
      <c r="G109" s="7" t="s">
        <v>629</v>
      </c>
      <c r="H109" s="7" t="s">
        <v>628</v>
      </c>
      <c r="I109" s="7" t="s">
        <v>83</v>
      </c>
      <c r="J109" s="7" t="s">
        <v>127</v>
      </c>
      <c r="K109" s="7" t="s">
        <v>31</v>
      </c>
      <c r="L109" s="7" t="s">
        <v>32</v>
      </c>
      <c r="M109" s="7" t="s">
        <v>128</v>
      </c>
      <c r="N109" s="7" t="s">
        <v>33</v>
      </c>
      <c r="O109" s="7" t="s">
        <v>34</v>
      </c>
      <c r="P109" s="7" t="s">
        <v>35</v>
      </c>
      <c r="Q109" s="7">
        <v>74.0</v>
      </c>
      <c r="R109" s="7">
        <v>3.0</v>
      </c>
      <c r="S109" s="7">
        <v>3.0</v>
      </c>
      <c r="T109" s="5"/>
      <c r="U109" s="5"/>
      <c r="V109" s="5"/>
      <c r="W109" s="5"/>
      <c r="X109" s="5"/>
      <c r="Y109" s="5"/>
      <c r="Z109" s="5"/>
    </row>
    <row r="110" ht="14.25" customHeight="1">
      <c r="A110" s="7" t="s">
        <v>630</v>
      </c>
      <c r="B110" s="7" t="s">
        <v>631</v>
      </c>
      <c r="C110" s="7" t="s">
        <v>632</v>
      </c>
      <c r="D110" s="7" t="s">
        <v>23</v>
      </c>
      <c r="E110" s="7" t="s">
        <v>24</v>
      </c>
      <c r="F110" s="7" t="s">
        <v>633</v>
      </c>
      <c r="G110" s="7" t="s">
        <v>26</v>
      </c>
      <c r="H110" s="7" t="s">
        <v>633</v>
      </c>
      <c r="I110" s="7" t="s">
        <v>83</v>
      </c>
      <c r="J110" s="7" t="s">
        <v>120</v>
      </c>
      <c r="K110" s="7" t="s">
        <v>31</v>
      </c>
      <c r="L110" s="7" t="s">
        <v>32</v>
      </c>
      <c r="M110" s="7" t="s">
        <v>121</v>
      </c>
      <c r="N110" s="7" t="s">
        <v>33</v>
      </c>
      <c r="O110" s="7" t="s">
        <v>34</v>
      </c>
      <c r="P110" s="7" t="s">
        <v>35</v>
      </c>
      <c r="Q110" s="7">
        <v>10.0</v>
      </c>
      <c r="R110" s="7">
        <v>1.0</v>
      </c>
      <c r="S110" s="7">
        <v>3.0</v>
      </c>
      <c r="T110" s="5"/>
      <c r="U110" s="5"/>
      <c r="V110" s="5"/>
      <c r="W110" s="5"/>
      <c r="X110" s="5"/>
      <c r="Y110" s="5"/>
      <c r="Z110" s="5"/>
    </row>
    <row r="111" ht="14.25" customHeight="1">
      <c r="A111" s="7" t="s">
        <v>635</v>
      </c>
      <c r="B111" s="7" t="s">
        <v>636</v>
      </c>
      <c r="C111" s="7" t="s">
        <v>637</v>
      </c>
      <c r="D111" s="7" t="s">
        <v>23</v>
      </c>
      <c r="E111" s="7" t="s">
        <v>24</v>
      </c>
      <c r="F111" s="7" t="s">
        <v>638</v>
      </c>
      <c r="G111" s="7" t="s">
        <v>638</v>
      </c>
      <c r="H111" s="7" t="s">
        <v>638</v>
      </c>
      <c r="I111" s="7" t="s">
        <v>83</v>
      </c>
      <c r="J111" s="7" t="s">
        <v>112</v>
      </c>
      <c r="K111" s="7" t="s">
        <v>31</v>
      </c>
      <c r="L111" s="7" t="s">
        <v>32</v>
      </c>
      <c r="M111" s="7" t="s">
        <v>113</v>
      </c>
      <c r="N111" s="7" t="s">
        <v>33</v>
      </c>
      <c r="O111" s="7" t="s">
        <v>34</v>
      </c>
      <c r="P111" s="7" t="s">
        <v>35</v>
      </c>
      <c r="Q111" s="7">
        <v>37.0</v>
      </c>
      <c r="R111" s="7">
        <v>2.0</v>
      </c>
      <c r="S111" s="7">
        <v>3.0</v>
      </c>
      <c r="T111" s="5"/>
      <c r="U111" s="5"/>
      <c r="V111" s="5"/>
      <c r="W111" s="5"/>
      <c r="X111" s="5"/>
      <c r="Y111" s="5"/>
      <c r="Z111" s="5"/>
    </row>
    <row r="112" ht="14.25" customHeight="1">
      <c r="A112" s="7" t="s">
        <v>639</v>
      </c>
      <c r="B112" s="7" t="s">
        <v>640</v>
      </c>
      <c r="C112" s="7" t="s">
        <v>641</v>
      </c>
      <c r="D112" s="7" t="s">
        <v>23</v>
      </c>
      <c r="E112" s="7" t="s">
        <v>24</v>
      </c>
      <c r="F112" s="7" t="s">
        <v>642</v>
      </c>
      <c r="G112" s="7" t="s">
        <v>643</v>
      </c>
      <c r="H112" s="7" t="s">
        <v>643</v>
      </c>
      <c r="I112" s="7" t="s">
        <v>83</v>
      </c>
      <c r="J112" s="7" t="s">
        <v>52</v>
      </c>
      <c r="K112" s="7" t="s">
        <v>31</v>
      </c>
      <c r="L112" s="7" t="s">
        <v>32</v>
      </c>
      <c r="M112" s="7" t="s">
        <v>55</v>
      </c>
      <c r="N112" s="7" t="s">
        <v>33</v>
      </c>
      <c r="O112" s="7" t="s">
        <v>34</v>
      </c>
      <c r="P112" s="7" t="s">
        <v>35</v>
      </c>
      <c r="Q112" s="7">
        <v>57.0</v>
      </c>
      <c r="R112" s="7">
        <v>3.0</v>
      </c>
      <c r="S112" s="7">
        <v>3.0</v>
      </c>
      <c r="T112" s="5"/>
      <c r="U112" s="5"/>
      <c r="V112" s="5"/>
      <c r="W112" s="5"/>
      <c r="X112" s="5"/>
      <c r="Y112" s="5"/>
      <c r="Z112" s="5"/>
    </row>
    <row r="113" ht="14.25" customHeight="1">
      <c r="A113" s="7" t="s">
        <v>644</v>
      </c>
      <c r="B113" s="7" t="s">
        <v>645</v>
      </c>
      <c r="C113" s="7" t="s">
        <v>646</v>
      </c>
      <c r="D113" s="7" t="s">
        <v>23</v>
      </c>
      <c r="E113" s="7" t="s">
        <v>192</v>
      </c>
      <c r="F113" s="7" t="s">
        <v>647</v>
      </c>
      <c r="G113" s="7" t="s">
        <v>26</v>
      </c>
      <c r="H113" s="7" t="s">
        <v>63</v>
      </c>
      <c r="I113" s="7" t="s">
        <v>29</v>
      </c>
      <c r="J113" s="7" t="s">
        <v>30</v>
      </c>
      <c r="K113" s="7" t="s">
        <v>31</v>
      </c>
      <c r="L113" s="7" t="s">
        <v>32</v>
      </c>
      <c r="M113" s="7" t="s">
        <v>32</v>
      </c>
      <c r="N113" s="7" t="s">
        <v>33</v>
      </c>
      <c r="O113" s="7" t="s">
        <v>34</v>
      </c>
      <c r="P113" s="7" t="s">
        <v>35</v>
      </c>
      <c r="Q113" s="7">
        <v>83.0</v>
      </c>
      <c r="R113" s="7">
        <v>3.0</v>
      </c>
      <c r="S113" s="7">
        <v>3.0</v>
      </c>
      <c r="T113" s="5"/>
      <c r="U113" s="5"/>
      <c r="V113" s="5"/>
      <c r="W113" s="5"/>
      <c r="X113" s="5"/>
      <c r="Y113" s="5"/>
      <c r="Z113" s="5"/>
    </row>
    <row r="114" ht="14.25" customHeight="1">
      <c r="A114" s="7" t="s">
        <v>648</v>
      </c>
      <c r="B114" s="7" t="s">
        <v>649</v>
      </c>
      <c r="C114" s="7" t="s">
        <v>650</v>
      </c>
      <c r="D114" s="7" t="s">
        <v>23</v>
      </c>
      <c r="E114" s="7" t="s">
        <v>192</v>
      </c>
      <c r="F114" s="7" t="s">
        <v>651</v>
      </c>
      <c r="G114" s="7" t="s">
        <v>652</v>
      </c>
      <c r="H114" s="7" t="s">
        <v>63</v>
      </c>
      <c r="I114" s="7" t="s">
        <v>29</v>
      </c>
      <c r="J114" s="7" t="s">
        <v>30</v>
      </c>
      <c r="K114" s="7" t="s">
        <v>31</v>
      </c>
      <c r="L114" s="7" t="s">
        <v>32</v>
      </c>
      <c r="M114" s="7" t="s">
        <v>32</v>
      </c>
      <c r="N114" s="7" t="s">
        <v>33</v>
      </c>
      <c r="O114" s="7" t="s">
        <v>34</v>
      </c>
      <c r="P114" s="7" t="s">
        <v>35</v>
      </c>
      <c r="Q114" s="7">
        <v>85.0</v>
      </c>
      <c r="R114" s="7">
        <v>4.0</v>
      </c>
      <c r="S114" s="7">
        <v>4.0</v>
      </c>
      <c r="T114" s="5"/>
      <c r="U114" s="5"/>
      <c r="V114" s="5"/>
      <c r="W114" s="5"/>
      <c r="X114" s="5"/>
      <c r="Y114" s="5"/>
      <c r="Z114" s="5"/>
    </row>
    <row r="115" ht="14.25" customHeight="1">
      <c r="A115" s="7" t="s">
        <v>653</v>
      </c>
      <c r="B115" s="7" t="s">
        <v>654</v>
      </c>
      <c r="C115" s="7" t="s">
        <v>655</v>
      </c>
      <c r="D115" s="7" t="s">
        <v>23</v>
      </c>
      <c r="E115" s="7" t="s">
        <v>24</v>
      </c>
      <c r="F115" s="7" t="s">
        <v>656</v>
      </c>
      <c r="G115" s="7" t="s">
        <v>656</v>
      </c>
      <c r="H115" s="7" t="s">
        <v>656</v>
      </c>
      <c r="I115" s="7" t="s">
        <v>83</v>
      </c>
      <c r="J115" s="7" t="s">
        <v>127</v>
      </c>
      <c r="K115" s="7" t="s">
        <v>31</v>
      </c>
      <c r="L115" s="7" t="s">
        <v>32</v>
      </c>
      <c r="M115" s="7" t="s">
        <v>128</v>
      </c>
      <c r="N115" s="7" t="s">
        <v>33</v>
      </c>
      <c r="O115" s="7" t="s">
        <v>34</v>
      </c>
      <c r="P115" s="7" t="s">
        <v>35</v>
      </c>
      <c r="Q115" s="7">
        <v>7.0</v>
      </c>
      <c r="R115" s="7">
        <v>1.0</v>
      </c>
      <c r="S115" s="7">
        <v>3.0</v>
      </c>
      <c r="T115" s="5"/>
      <c r="U115" s="5"/>
      <c r="V115" s="5"/>
      <c r="W115" s="5"/>
      <c r="X115" s="5"/>
      <c r="Y115" s="5"/>
      <c r="Z115" s="5"/>
    </row>
    <row r="116" ht="14.25" customHeight="1">
      <c r="A116" s="7" t="s">
        <v>657</v>
      </c>
      <c r="B116" s="7" t="s">
        <v>658</v>
      </c>
      <c r="C116" s="7" t="s">
        <v>659</v>
      </c>
      <c r="D116" s="7" t="s">
        <v>23</v>
      </c>
      <c r="E116" s="7" t="s">
        <v>192</v>
      </c>
      <c r="F116" s="7" t="s">
        <v>660</v>
      </c>
      <c r="G116" s="7" t="s">
        <v>26</v>
      </c>
      <c r="H116" s="7" t="s">
        <v>63</v>
      </c>
      <c r="I116" s="7" t="s">
        <v>29</v>
      </c>
      <c r="J116" s="7" t="s">
        <v>30</v>
      </c>
      <c r="K116" s="7" t="s">
        <v>31</v>
      </c>
      <c r="L116" s="7" t="s">
        <v>32</v>
      </c>
      <c r="M116" s="7" t="s">
        <v>32</v>
      </c>
      <c r="N116" s="7" t="s">
        <v>33</v>
      </c>
      <c r="O116" s="7" t="s">
        <v>34</v>
      </c>
      <c r="P116" s="7" t="s">
        <v>35</v>
      </c>
      <c r="Q116" s="7">
        <v>42.0</v>
      </c>
      <c r="R116" s="7">
        <v>3.0</v>
      </c>
      <c r="S116" s="7">
        <v>3.0</v>
      </c>
      <c r="T116" s="5"/>
      <c r="U116" s="5"/>
      <c r="V116" s="5"/>
      <c r="W116" s="5"/>
      <c r="X116" s="5"/>
      <c r="Y116" s="5"/>
      <c r="Z116" s="5"/>
    </row>
    <row r="117" ht="14.25" customHeight="1">
      <c r="A117" s="7" t="s">
        <v>661</v>
      </c>
      <c r="B117" s="7" t="s">
        <v>662</v>
      </c>
      <c r="C117" s="7" t="s">
        <v>663</v>
      </c>
      <c r="D117" s="7" t="s">
        <v>23</v>
      </c>
      <c r="E117" s="7" t="s">
        <v>192</v>
      </c>
      <c r="F117" s="7" t="s">
        <v>63</v>
      </c>
      <c r="G117" s="7" t="s">
        <v>63</v>
      </c>
      <c r="H117" s="7" t="s">
        <v>111</v>
      </c>
      <c r="I117" s="7" t="s">
        <v>29</v>
      </c>
      <c r="J117" s="7" t="s">
        <v>112</v>
      </c>
      <c r="K117" s="7" t="s">
        <v>31</v>
      </c>
      <c r="L117" s="7" t="s">
        <v>32</v>
      </c>
      <c r="M117" s="7" t="s">
        <v>113</v>
      </c>
      <c r="N117" s="7" t="s">
        <v>33</v>
      </c>
      <c r="O117" s="7" t="s">
        <v>34</v>
      </c>
      <c r="P117" s="7" t="s">
        <v>35</v>
      </c>
      <c r="Q117" s="7">
        <v>18.0</v>
      </c>
      <c r="R117" s="7">
        <v>2.0</v>
      </c>
      <c r="S117" s="7">
        <v>3.0</v>
      </c>
      <c r="T117" s="5"/>
      <c r="U117" s="5"/>
      <c r="V117" s="5"/>
      <c r="W117" s="5"/>
      <c r="X117" s="5"/>
      <c r="Y117" s="5"/>
      <c r="Z117" s="5"/>
    </row>
    <row r="118" ht="14.25" customHeight="1">
      <c r="A118" s="7" t="s">
        <v>664</v>
      </c>
      <c r="B118" s="7" t="s">
        <v>665</v>
      </c>
      <c r="C118" s="7" t="s">
        <v>666</v>
      </c>
      <c r="D118" s="7" t="s">
        <v>23</v>
      </c>
      <c r="E118" s="7" t="s">
        <v>24</v>
      </c>
      <c r="F118" s="7" t="s">
        <v>667</v>
      </c>
      <c r="G118" s="7" t="s">
        <v>26</v>
      </c>
      <c r="H118" s="7" t="s">
        <v>668</v>
      </c>
      <c r="I118" s="7" t="s">
        <v>83</v>
      </c>
      <c r="J118" s="7" t="s">
        <v>179</v>
      </c>
      <c r="K118" s="7" t="s">
        <v>31</v>
      </c>
      <c r="L118" s="7" t="s">
        <v>32</v>
      </c>
      <c r="M118" s="7" t="s">
        <v>180</v>
      </c>
      <c r="N118" s="7" t="s">
        <v>33</v>
      </c>
      <c r="O118" s="7" t="s">
        <v>34</v>
      </c>
      <c r="P118" s="7" t="s">
        <v>35</v>
      </c>
      <c r="Q118" s="7">
        <v>8.0</v>
      </c>
      <c r="R118" s="7">
        <v>1.0</v>
      </c>
      <c r="S118" s="7">
        <v>3.0</v>
      </c>
      <c r="T118" s="5"/>
      <c r="U118" s="5"/>
      <c r="V118" s="5"/>
      <c r="W118" s="5"/>
      <c r="X118" s="5"/>
      <c r="Y118" s="5"/>
      <c r="Z118" s="5"/>
    </row>
    <row r="119" ht="14.25" customHeight="1">
      <c r="A119" s="7" t="s">
        <v>669</v>
      </c>
      <c r="B119" s="7" t="s">
        <v>670</v>
      </c>
      <c r="C119" s="7" t="s">
        <v>671</v>
      </c>
      <c r="D119" s="7" t="s">
        <v>23</v>
      </c>
      <c r="E119" s="7" t="s">
        <v>24</v>
      </c>
      <c r="F119" s="7" t="s">
        <v>672</v>
      </c>
      <c r="G119" s="7" t="s">
        <v>26</v>
      </c>
      <c r="H119" s="7" t="s">
        <v>672</v>
      </c>
      <c r="I119" s="7" t="s">
        <v>83</v>
      </c>
      <c r="J119" s="7" t="s">
        <v>179</v>
      </c>
      <c r="K119" s="7" t="s">
        <v>31</v>
      </c>
      <c r="L119" s="7" t="s">
        <v>32</v>
      </c>
      <c r="M119" s="7" t="s">
        <v>180</v>
      </c>
      <c r="N119" s="7" t="s">
        <v>33</v>
      </c>
      <c r="O119" s="7" t="s">
        <v>34</v>
      </c>
      <c r="P119" s="7" t="s">
        <v>35</v>
      </c>
      <c r="Q119" s="7">
        <v>5.0</v>
      </c>
      <c r="R119" s="7">
        <v>1.0</v>
      </c>
      <c r="S119" s="7">
        <v>2.0</v>
      </c>
      <c r="T119" s="5"/>
      <c r="U119" s="5"/>
      <c r="V119" s="5"/>
      <c r="W119" s="5"/>
      <c r="X119" s="5"/>
      <c r="Y119" s="5"/>
      <c r="Z119" s="5"/>
    </row>
    <row r="120" ht="14.25" customHeight="1">
      <c r="A120" s="7" t="s">
        <v>673</v>
      </c>
      <c r="B120" s="7" t="s">
        <v>674</v>
      </c>
      <c r="C120" s="7" t="s">
        <v>675</v>
      </c>
      <c r="D120" s="7" t="s">
        <v>23</v>
      </c>
      <c r="E120" s="7" t="s">
        <v>24</v>
      </c>
      <c r="F120" s="7" t="s">
        <v>676</v>
      </c>
      <c r="G120" s="7" t="s">
        <v>26</v>
      </c>
      <c r="H120" s="7" t="s">
        <v>676</v>
      </c>
      <c r="I120" s="7" t="s">
        <v>83</v>
      </c>
      <c r="J120" s="7" t="s">
        <v>168</v>
      </c>
      <c r="K120" s="7" t="s">
        <v>31</v>
      </c>
      <c r="L120" s="7" t="s">
        <v>32</v>
      </c>
      <c r="M120" s="7" t="s">
        <v>169</v>
      </c>
      <c r="N120" s="7" t="s">
        <v>33</v>
      </c>
      <c r="O120" s="7" t="s">
        <v>34</v>
      </c>
      <c r="P120" s="7" t="s">
        <v>35</v>
      </c>
      <c r="Q120" s="7">
        <v>11.0</v>
      </c>
      <c r="R120" s="7">
        <v>1.0</v>
      </c>
      <c r="S120" s="7">
        <v>3.0</v>
      </c>
      <c r="T120" s="5"/>
      <c r="U120" s="5"/>
      <c r="V120" s="5"/>
      <c r="W120" s="5"/>
      <c r="X120" s="5"/>
      <c r="Y120" s="5"/>
      <c r="Z120" s="5"/>
    </row>
    <row r="121" ht="14.25" customHeight="1">
      <c r="A121" s="7" t="s">
        <v>677</v>
      </c>
      <c r="B121" s="7" t="s">
        <v>678</v>
      </c>
      <c r="C121" s="7" t="s">
        <v>679</v>
      </c>
      <c r="D121" s="7" t="s">
        <v>23</v>
      </c>
      <c r="E121" s="7" t="s">
        <v>24</v>
      </c>
      <c r="F121" s="7" t="s">
        <v>680</v>
      </c>
      <c r="G121" s="7" t="s">
        <v>26</v>
      </c>
      <c r="H121" s="7" t="s">
        <v>680</v>
      </c>
      <c r="I121" s="7" t="s">
        <v>83</v>
      </c>
      <c r="J121" s="7" t="s">
        <v>112</v>
      </c>
      <c r="K121" s="7" t="s">
        <v>31</v>
      </c>
      <c r="L121" s="7" t="s">
        <v>32</v>
      </c>
      <c r="M121" s="7" t="s">
        <v>113</v>
      </c>
      <c r="N121" s="7" t="s">
        <v>33</v>
      </c>
      <c r="O121" s="7" t="s">
        <v>34</v>
      </c>
      <c r="P121" s="7" t="s">
        <v>35</v>
      </c>
      <c r="Q121" s="7">
        <v>14.0</v>
      </c>
      <c r="R121" s="7">
        <v>1.0</v>
      </c>
      <c r="S121" s="7">
        <v>3.0</v>
      </c>
      <c r="T121" s="5"/>
      <c r="U121" s="5"/>
      <c r="V121" s="5"/>
      <c r="W121" s="5"/>
      <c r="X121" s="5"/>
      <c r="Y121" s="5"/>
      <c r="Z121" s="5"/>
    </row>
    <row r="122" ht="14.25" customHeight="1">
      <c r="A122" s="7" t="s">
        <v>681</v>
      </c>
      <c r="B122" s="7" t="s">
        <v>682</v>
      </c>
      <c r="C122" s="7" t="s">
        <v>683</v>
      </c>
      <c r="D122" s="7" t="s">
        <v>23</v>
      </c>
      <c r="E122" s="7" t="s">
        <v>24</v>
      </c>
      <c r="F122" s="7" t="s">
        <v>684</v>
      </c>
      <c r="G122" s="7" t="s">
        <v>26</v>
      </c>
      <c r="H122" s="7" t="s">
        <v>684</v>
      </c>
      <c r="I122" s="7" t="s">
        <v>83</v>
      </c>
      <c r="J122" s="7" t="s">
        <v>112</v>
      </c>
      <c r="K122" s="7" t="s">
        <v>31</v>
      </c>
      <c r="L122" s="7" t="s">
        <v>32</v>
      </c>
      <c r="M122" s="7" t="s">
        <v>113</v>
      </c>
      <c r="N122" s="7" t="s">
        <v>33</v>
      </c>
      <c r="O122" s="7" t="s">
        <v>34</v>
      </c>
      <c r="P122" s="7" t="s">
        <v>35</v>
      </c>
      <c r="Q122" s="7">
        <v>32.0</v>
      </c>
      <c r="R122" s="7">
        <v>1.0</v>
      </c>
      <c r="S122" s="7">
        <v>3.0</v>
      </c>
      <c r="T122" s="5"/>
      <c r="U122" s="5"/>
      <c r="V122" s="5"/>
      <c r="W122" s="5"/>
      <c r="X122" s="5"/>
      <c r="Y122" s="5"/>
      <c r="Z122" s="5"/>
    </row>
    <row r="123" ht="14.25" customHeight="1">
      <c r="A123" s="7" t="s">
        <v>685</v>
      </c>
      <c r="B123" s="7" t="s">
        <v>686</v>
      </c>
      <c r="C123" s="7" t="s">
        <v>687</v>
      </c>
      <c r="D123" s="7" t="s">
        <v>23</v>
      </c>
      <c r="E123" s="7" t="s">
        <v>24</v>
      </c>
      <c r="F123" s="7" t="s">
        <v>688</v>
      </c>
      <c r="G123" s="7" t="s">
        <v>26</v>
      </c>
      <c r="H123" s="7" t="s">
        <v>688</v>
      </c>
      <c r="I123" s="7" t="s">
        <v>83</v>
      </c>
      <c r="J123" s="7" t="s">
        <v>168</v>
      </c>
      <c r="K123" s="7" t="s">
        <v>31</v>
      </c>
      <c r="L123" s="7" t="s">
        <v>32</v>
      </c>
      <c r="M123" s="7" t="s">
        <v>169</v>
      </c>
      <c r="N123" s="7" t="s">
        <v>33</v>
      </c>
      <c r="O123" s="7" t="s">
        <v>34</v>
      </c>
      <c r="P123" s="7" t="s">
        <v>35</v>
      </c>
      <c r="Q123" s="7">
        <v>4.0</v>
      </c>
      <c r="R123" s="7">
        <v>1.0</v>
      </c>
      <c r="S123" s="7">
        <v>2.0</v>
      </c>
      <c r="T123" s="5"/>
      <c r="U123" s="5"/>
      <c r="V123" s="5"/>
      <c r="W123" s="5"/>
      <c r="X123" s="5"/>
      <c r="Y123" s="5"/>
      <c r="Z123" s="5"/>
    </row>
    <row r="124" ht="14.25" customHeight="1">
      <c r="A124" s="7" t="s">
        <v>689</v>
      </c>
      <c r="B124" s="7" t="s">
        <v>690</v>
      </c>
      <c r="C124" s="7" t="s">
        <v>691</v>
      </c>
      <c r="D124" s="7" t="s">
        <v>23</v>
      </c>
      <c r="E124" s="7" t="s">
        <v>24</v>
      </c>
      <c r="F124" s="7" t="s">
        <v>692</v>
      </c>
      <c r="G124" s="7" t="s">
        <v>26</v>
      </c>
      <c r="H124" s="7" t="s">
        <v>692</v>
      </c>
      <c r="I124" s="7" t="s">
        <v>83</v>
      </c>
      <c r="J124" s="7" t="s">
        <v>168</v>
      </c>
      <c r="K124" s="7" t="s">
        <v>31</v>
      </c>
      <c r="L124" s="7" t="s">
        <v>32</v>
      </c>
      <c r="M124" s="7" t="s">
        <v>169</v>
      </c>
      <c r="N124" s="7" t="s">
        <v>33</v>
      </c>
      <c r="O124" s="7" t="s">
        <v>34</v>
      </c>
      <c r="P124" s="7" t="s">
        <v>35</v>
      </c>
      <c r="Q124" s="7">
        <v>5.0</v>
      </c>
      <c r="R124" s="7">
        <v>1.0</v>
      </c>
      <c r="S124" s="7">
        <v>3.0</v>
      </c>
      <c r="T124" s="5"/>
      <c r="U124" s="5"/>
      <c r="V124" s="5"/>
      <c r="W124" s="5"/>
      <c r="X124" s="5"/>
      <c r="Y124" s="5"/>
      <c r="Z124" s="5"/>
    </row>
    <row r="125" ht="14.25" customHeight="1">
      <c r="A125" s="7" t="s">
        <v>693</v>
      </c>
      <c r="B125" s="7" t="s">
        <v>694</v>
      </c>
      <c r="C125" s="7" t="s">
        <v>695</v>
      </c>
      <c r="D125" s="7" t="s">
        <v>23</v>
      </c>
      <c r="E125" s="7" t="s">
        <v>24</v>
      </c>
      <c r="F125" s="7" t="s">
        <v>696</v>
      </c>
      <c r="G125" s="7" t="s">
        <v>26</v>
      </c>
      <c r="H125" s="7" t="s">
        <v>696</v>
      </c>
      <c r="I125" s="7" t="s">
        <v>83</v>
      </c>
      <c r="J125" s="7" t="s">
        <v>42</v>
      </c>
      <c r="K125" s="7" t="s">
        <v>31</v>
      </c>
      <c r="L125" s="7" t="s">
        <v>32</v>
      </c>
      <c r="M125" s="7" t="s">
        <v>43</v>
      </c>
      <c r="N125" s="7" t="s">
        <v>33</v>
      </c>
      <c r="O125" s="7" t="s">
        <v>34</v>
      </c>
      <c r="P125" s="7" t="s">
        <v>35</v>
      </c>
      <c r="Q125" s="7">
        <v>7.0</v>
      </c>
      <c r="R125" s="7">
        <v>1.0</v>
      </c>
      <c r="S125" s="7">
        <v>2.0</v>
      </c>
      <c r="T125" s="5"/>
      <c r="U125" s="5"/>
      <c r="V125" s="5"/>
      <c r="W125" s="5"/>
      <c r="X125" s="5"/>
      <c r="Y125" s="5"/>
      <c r="Z125" s="5"/>
    </row>
    <row r="126" ht="14.25" customHeight="1">
      <c r="A126" s="7" t="s">
        <v>697</v>
      </c>
      <c r="B126" s="7" t="s">
        <v>698</v>
      </c>
      <c r="C126" s="7" t="s">
        <v>699</v>
      </c>
      <c r="D126" s="7" t="s">
        <v>23</v>
      </c>
      <c r="E126" s="7" t="s">
        <v>24</v>
      </c>
      <c r="F126" s="7" t="s">
        <v>700</v>
      </c>
      <c r="G126" s="7" t="s">
        <v>26</v>
      </c>
      <c r="H126" s="7" t="s">
        <v>700</v>
      </c>
      <c r="I126" s="7" t="s">
        <v>83</v>
      </c>
      <c r="J126" s="7" t="s">
        <v>42</v>
      </c>
      <c r="K126" s="7" t="s">
        <v>31</v>
      </c>
      <c r="L126" s="7" t="s">
        <v>32</v>
      </c>
      <c r="M126" s="7" t="s">
        <v>43</v>
      </c>
      <c r="N126" s="7" t="s">
        <v>33</v>
      </c>
      <c r="O126" s="7" t="s">
        <v>34</v>
      </c>
      <c r="P126" s="7" t="s">
        <v>35</v>
      </c>
      <c r="Q126" s="7">
        <v>16.0</v>
      </c>
      <c r="R126" s="7">
        <v>1.0</v>
      </c>
      <c r="S126" s="7">
        <v>3.0</v>
      </c>
      <c r="T126" s="5"/>
      <c r="U126" s="5"/>
      <c r="V126" s="5"/>
      <c r="W126" s="5"/>
      <c r="X126" s="5"/>
      <c r="Y126" s="5"/>
      <c r="Z126" s="5"/>
    </row>
    <row r="127" ht="14.25" customHeight="1">
      <c r="A127" s="7" t="s">
        <v>701</v>
      </c>
      <c r="B127" s="7" t="s">
        <v>702</v>
      </c>
      <c r="C127" s="7" t="s">
        <v>703</v>
      </c>
      <c r="D127" s="7" t="s">
        <v>23</v>
      </c>
      <c r="E127" s="7" t="s">
        <v>24</v>
      </c>
      <c r="F127" s="7" t="s">
        <v>704</v>
      </c>
      <c r="G127" s="7" t="s">
        <v>26</v>
      </c>
      <c r="H127" s="7" t="s">
        <v>704</v>
      </c>
      <c r="I127" s="7" t="s">
        <v>83</v>
      </c>
      <c r="J127" s="7" t="s">
        <v>42</v>
      </c>
      <c r="K127" s="7" t="s">
        <v>31</v>
      </c>
      <c r="L127" s="7" t="s">
        <v>32</v>
      </c>
      <c r="M127" s="7" t="s">
        <v>43</v>
      </c>
      <c r="N127" s="7" t="s">
        <v>33</v>
      </c>
      <c r="O127" s="7" t="s">
        <v>34</v>
      </c>
      <c r="P127" s="7" t="s">
        <v>35</v>
      </c>
      <c r="Q127" s="7">
        <v>12.0</v>
      </c>
      <c r="R127" s="7">
        <v>1.0</v>
      </c>
      <c r="S127" s="7">
        <v>3.0</v>
      </c>
      <c r="T127" s="5"/>
      <c r="U127" s="5"/>
      <c r="V127" s="5"/>
      <c r="W127" s="5"/>
      <c r="X127" s="5"/>
      <c r="Y127" s="5"/>
      <c r="Z127" s="5"/>
    </row>
    <row r="128" ht="14.25" customHeight="1">
      <c r="A128" s="7" t="s">
        <v>705</v>
      </c>
      <c r="B128" s="7" t="s">
        <v>706</v>
      </c>
      <c r="C128" s="7" t="s">
        <v>707</v>
      </c>
      <c r="D128" s="7" t="s">
        <v>23</v>
      </c>
      <c r="E128" s="7" t="s">
        <v>24</v>
      </c>
      <c r="F128" s="7" t="s">
        <v>708</v>
      </c>
      <c r="G128" s="7" t="s">
        <v>26</v>
      </c>
      <c r="H128" s="7" t="s">
        <v>708</v>
      </c>
      <c r="I128" s="7" t="s">
        <v>29</v>
      </c>
      <c r="J128" s="7" t="s">
        <v>77</v>
      </c>
      <c r="K128" s="7" t="s">
        <v>31</v>
      </c>
      <c r="L128" s="7" t="s">
        <v>32</v>
      </c>
      <c r="M128" s="7" t="s">
        <v>78</v>
      </c>
      <c r="N128" s="7" t="s">
        <v>33</v>
      </c>
      <c r="O128" s="7" t="s">
        <v>34</v>
      </c>
      <c r="P128" s="7" t="s">
        <v>35</v>
      </c>
      <c r="Q128" s="7">
        <v>13.0</v>
      </c>
      <c r="R128" s="7">
        <v>1.0</v>
      </c>
      <c r="S128" s="7">
        <v>3.0</v>
      </c>
      <c r="T128" s="5"/>
      <c r="U128" s="5"/>
      <c r="V128" s="5"/>
      <c r="W128" s="5"/>
      <c r="X128" s="5"/>
      <c r="Y128" s="5"/>
      <c r="Z128" s="5"/>
    </row>
    <row r="129" ht="14.25" customHeight="1">
      <c r="A129" s="7" t="s">
        <v>710</v>
      </c>
      <c r="B129" s="7" t="s">
        <v>711</v>
      </c>
      <c r="C129" s="7" t="s">
        <v>712</v>
      </c>
      <c r="D129" s="7" t="s">
        <v>23</v>
      </c>
      <c r="E129" s="7" t="s">
        <v>24</v>
      </c>
      <c r="F129" s="7" t="s">
        <v>713</v>
      </c>
      <c r="G129" s="7" t="s">
        <v>26</v>
      </c>
      <c r="H129" s="7" t="s">
        <v>713</v>
      </c>
      <c r="I129" s="7" t="s">
        <v>83</v>
      </c>
      <c r="J129" s="7" t="s">
        <v>77</v>
      </c>
      <c r="K129" s="7" t="s">
        <v>31</v>
      </c>
      <c r="L129" s="7" t="s">
        <v>32</v>
      </c>
      <c r="M129" s="7" t="s">
        <v>78</v>
      </c>
      <c r="N129" s="7" t="s">
        <v>33</v>
      </c>
      <c r="O129" s="7" t="s">
        <v>34</v>
      </c>
      <c r="P129" s="7" t="s">
        <v>35</v>
      </c>
      <c r="Q129" s="7">
        <v>33.0</v>
      </c>
      <c r="R129" s="7">
        <v>2.0</v>
      </c>
      <c r="S129" s="7">
        <v>3.0</v>
      </c>
      <c r="T129" s="5"/>
      <c r="U129" s="5"/>
      <c r="V129" s="5"/>
      <c r="W129" s="5"/>
      <c r="X129" s="5"/>
      <c r="Y129" s="5"/>
      <c r="Z129" s="5"/>
    </row>
    <row r="130" ht="14.25" customHeight="1">
      <c r="A130" s="7" t="s">
        <v>714</v>
      </c>
      <c r="B130" s="7" t="s">
        <v>715</v>
      </c>
      <c r="C130" s="7" t="s">
        <v>716</v>
      </c>
      <c r="D130" s="7" t="s">
        <v>23</v>
      </c>
      <c r="E130" s="7" t="s">
        <v>24</v>
      </c>
      <c r="F130" s="7" t="s">
        <v>717</v>
      </c>
      <c r="G130" s="7" t="s">
        <v>26</v>
      </c>
      <c r="H130" s="7" t="s">
        <v>718</v>
      </c>
      <c r="I130" s="7" t="s">
        <v>29</v>
      </c>
      <c r="J130" s="7" t="s">
        <v>52</v>
      </c>
      <c r="K130" s="7" t="s">
        <v>31</v>
      </c>
      <c r="L130" s="7" t="s">
        <v>32</v>
      </c>
      <c r="M130" s="7" t="s">
        <v>55</v>
      </c>
      <c r="N130" s="7" t="s">
        <v>33</v>
      </c>
      <c r="O130" s="7" t="s">
        <v>34</v>
      </c>
      <c r="P130" s="7" t="s">
        <v>35</v>
      </c>
      <c r="Q130" s="7">
        <v>30.0</v>
      </c>
      <c r="R130" s="7">
        <v>2.0</v>
      </c>
      <c r="S130" s="7">
        <v>3.0</v>
      </c>
      <c r="T130" s="5"/>
      <c r="U130" s="5"/>
      <c r="V130" s="5"/>
      <c r="W130" s="5"/>
      <c r="X130" s="5"/>
      <c r="Y130" s="5"/>
      <c r="Z130" s="5"/>
    </row>
    <row r="131" ht="14.25" customHeight="1">
      <c r="A131" s="7" t="s">
        <v>719</v>
      </c>
      <c r="B131" s="7" t="s">
        <v>720</v>
      </c>
      <c r="C131" s="7" t="s">
        <v>721</v>
      </c>
      <c r="D131" s="7" t="s">
        <v>23</v>
      </c>
      <c r="E131" s="7" t="s">
        <v>24</v>
      </c>
      <c r="F131" s="7" t="s">
        <v>722</v>
      </c>
      <c r="G131" s="7" t="s">
        <v>26</v>
      </c>
      <c r="H131" s="7" t="s">
        <v>482</v>
      </c>
      <c r="I131" s="7" t="s">
        <v>83</v>
      </c>
      <c r="J131" s="7" t="s">
        <v>52</v>
      </c>
      <c r="K131" s="7" t="s">
        <v>31</v>
      </c>
      <c r="L131" s="7" t="s">
        <v>32</v>
      </c>
      <c r="M131" s="7" t="s">
        <v>55</v>
      </c>
      <c r="N131" s="7" t="s">
        <v>33</v>
      </c>
      <c r="O131" s="7" t="s">
        <v>34</v>
      </c>
      <c r="P131" s="7" t="s">
        <v>35</v>
      </c>
      <c r="Q131" s="7">
        <v>14.0</v>
      </c>
      <c r="R131" s="7">
        <v>1.0</v>
      </c>
      <c r="S131" s="7">
        <v>3.0</v>
      </c>
      <c r="T131" s="5"/>
      <c r="U131" s="5"/>
      <c r="V131" s="5"/>
      <c r="W131" s="5"/>
      <c r="X131" s="5"/>
      <c r="Y131" s="5"/>
      <c r="Z131" s="5"/>
    </row>
    <row r="132" ht="14.25" customHeight="1">
      <c r="A132" s="7" t="s">
        <v>723</v>
      </c>
      <c r="B132" s="7" t="s">
        <v>724</v>
      </c>
      <c r="C132" s="7" t="s">
        <v>725</v>
      </c>
      <c r="D132" s="7" t="s">
        <v>23</v>
      </c>
      <c r="E132" s="7" t="s">
        <v>24</v>
      </c>
      <c r="F132" s="7" t="s">
        <v>726</v>
      </c>
      <c r="G132" s="7" t="s">
        <v>26</v>
      </c>
      <c r="H132" s="7" t="s">
        <v>727</v>
      </c>
      <c r="I132" s="7" t="s">
        <v>83</v>
      </c>
      <c r="J132" s="7" t="s">
        <v>168</v>
      </c>
      <c r="K132" s="7" t="s">
        <v>31</v>
      </c>
      <c r="L132" s="7" t="s">
        <v>32</v>
      </c>
      <c r="M132" s="7" t="s">
        <v>169</v>
      </c>
      <c r="N132" s="7" t="s">
        <v>33</v>
      </c>
      <c r="O132" s="7" t="s">
        <v>34</v>
      </c>
      <c r="P132" s="7" t="s">
        <v>35</v>
      </c>
      <c r="Q132" s="7">
        <v>11.0</v>
      </c>
      <c r="R132" s="7">
        <v>1.0</v>
      </c>
      <c r="S132" s="7">
        <v>3.0</v>
      </c>
      <c r="T132" s="5"/>
      <c r="U132" s="5"/>
      <c r="V132" s="5"/>
      <c r="W132" s="5"/>
      <c r="X132" s="5"/>
      <c r="Y132" s="5"/>
      <c r="Z132" s="5"/>
    </row>
    <row r="133" ht="14.25" customHeight="1">
      <c r="A133" s="7" t="s">
        <v>728</v>
      </c>
      <c r="B133" s="7" t="s">
        <v>729</v>
      </c>
      <c r="C133" s="7" t="s">
        <v>730</v>
      </c>
      <c r="D133" s="7" t="s">
        <v>23</v>
      </c>
      <c r="E133" s="7" t="s">
        <v>24</v>
      </c>
      <c r="F133" s="7" t="s">
        <v>731</v>
      </c>
      <c r="G133" s="7" t="s">
        <v>26</v>
      </c>
      <c r="H133" s="7" t="s">
        <v>732</v>
      </c>
      <c r="I133" s="7" t="s">
        <v>83</v>
      </c>
      <c r="J133" s="7" t="s">
        <v>168</v>
      </c>
      <c r="K133" s="7" t="s">
        <v>31</v>
      </c>
      <c r="L133" s="7" t="s">
        <v>32</v>
      </c>
      <c r="M133" s="7" t="s">
        <v>169</v>
      </c>
      <c r="N133" s="7" t="s">
        <v>33</v>
      </c>
      <c r="O133" s="7" t="s">
        <v>34</v>
      </c>
      <c r="P133" s="7" t="s">
        <v>35</v>
      </c>
      <c r="Q133" s="7">
        <v>8.0</v>
      </c>
      <c r="R133" s="7">
        <v>1.0</v>
      </c>
      <c r="S133" s="7">
        <v>3.0</v>
      </c>
      <c r="T133" s="5"/>
      <c r="U133" s="5"/>
      <c r="V133" s="5"/>
      <c r="W133" s="5"/>
      <c r="X133" s="5"/>
      <c r="Y133" s="5"/>
      <c r="Z133" s="5"/>
    </row>
    <row r="134" ht="14.25" customHeight="1">
      <c r="A134" s="7" t="s">
        <v>733</v>
      </c>
      <c r="B134" s="7" t="s">
        <v>734</v>
      </c>
      <c r="C134" s="7" t="s">
        <v>735</v>
      </c>
      <c r="D134" s="7" t="s">
        <v>23</v>
      </c>
      <c r="E134" s="7" t="s">
        <v>24</v>
      </c>
      <c r="F134" s="7" t="s">
        <v>736</v>
      </c>
      <c r="G134" s="7" t="s">
        <v>26</v>
      </c>
      <c r="H134" s="7" t="s">
        <v>737</v>
      </c>
      <c r="I134" s="7" t="s">
        <v>83</v>
      </c>
      <c r="J134" s="7" t="s">
        <v>168</v>
      </c>
      <c r="K134" s="7" t="s">
        <v>31</v>
      </c>
      <c r="L134" s="7" t="s">
        <v>32</v>
      </c>
      <c r="M134" s="7" t="s">
        <v>169</v>
      </c>
      <c r="N134" s="7" t="s">
        <v>33</v>
      </c>
      <c r="O134" s="7" t="s">
        <v>34</v>
      </c>
      <c r="P134" s="7" t="s">
        <v>35</v>
      </c>
      <c r="Q134" s="7">
        <v>2.0</v>
      </c>
      <c r="R134" s="7">
        <v>1.0</v>
      </c>
      <c r="S134" s="7">
        <v>2.0</v>
      </c>
      <c r="T134" s="5"/>
      <c r="U134" s="5"/>
      <c r="V134" s="5"/>
      <c r="W134" s="5"/>
      <c r="X134" s="5"/>
      <c r="Y134" s="5"/>
      <c r="Z134" s="5"/>
    </row>
    <row r="135" ht="14.25" customHeight="1">
      <c r="A135" s="7" t="s">
        <v>738</v>
      </c>
      <c r="B135" s="7" t="s">
        <v>739</v>
      </c>
      <c r="C135" s="7" t="s">
        <v>740</v>
      </c>
      <c r="D135" s="7" t="s">
        <v>23</v>
      </c>
      <c r="E135" s="7" t="s">
        <v>24</v>
      </c>
      <c r="F135" s="7" t="s">
        <v>741</v>
      </c>
      <c r="G135" s="7" t="s">
        <v>26</v>
      </c>
      <c r="H135" s="7" t="s">
        <v>742</v>
      </c>
      <c r="I135" s="7" t="s">
        <v>83</v>
      </c>
      <c r="J135" s="7" t="s">
        <v>162</v>
      </c>
      <c r="K135" s="7" t="s">
        <v>31</v>
      </c>
      <c r="L135" s="7" t="s">
        <v>32</v>
      </c>
      <c r="M135" s="7" t="s">
        <v>163</v>
      </c>
      <c r="N135" s="7" t="s">
        <v>33</v>
      </c>
      <c r="O135" s="7" t="s">
        <v>34</v>
      </c>
      <c r="P135" s="7" t="s">
        <v>35</v>
      </c>
      <c r="Q135" s="7">
        <v>6.0</v>
      </c>
      <c r="R135" s="7">
        <v>1.0</v>
      </c>
      <c r="S135" s="7">
        <v>2.0</v>
      </c>
      <c r="T135" s="5"/>
      <c r="U135" s="5"/>
      <c r="V135" s="5"/>
      <c r="W135" s="5"/>
      <c r="X135" s="5"/>
      <c r="Y135" s="5"/>
      <c r="Z135" s="5"/>
    </row>
    <row r="136" ht="14.25" customHeight="1">
      <c r="A136" s="7" t="s">
        <v>743</v>
      </c>
      <c r="B136" s="7" t="s">
        <v>744</v>
      </c>
      <c r="C136" s="7" t="s">
        <v>745</v>
      </c>
      <c r="D136" s="7" t="s">
        <v>23</v>
      </c>
      <c r="E136" s="7" t="s">
        <v>24</v>
      </c>
      <c r="F136" s="7" t="s">
        <v>746</v>
      </c>
      <c r="G136" s="7" t="s">
        <v>26</v>
      </c>
      <c r="H136" s="7" t="s">
        <v>747</v>
      </c>
      <c r="I136" s="7" t="s">
        <v>83</v>
      </c>
      <c r="J136" s="7" t="s">
        <v>168</v>
      </c>
      <c r="K136" s="7" t="s">
        <v>31</v>
      </c>
      <c r="L136" s="7" t="s">
        <v>32</v>
      </c>
      <c r="M136" s="7" t="s">
        <v>169</v>
      </c>
      <c r="N136" s="7" t="s">
        <v>33</v>
      </c>
      <c r="O136" s="7" t="s">
        <v>34</v>
      </c>
      <c r="P136" s="7" t="s">
        <v>35</v>
      </c>
      <c r="Q136" s="7">
        <v>5.0</v>
      </c>
      <c r="R136" s="7">
        <v>1.0</v>
      </c>
      <c r="S136" s="7">
        <v>3.0</v>
      </c>
      <c r="T136" s="5"/>
      <c r="U136" s="5"/>
      <c r="V136" s="5"/>
      <c r="W136" s="5"/>
      <c r="X136" s="5"/>
      <c r="Y136" s="5"/>
      <c r="Z136" s="5"/>
    </row>
    <row r="137" ht="14.25" customHeight="1">
      <c r="A137" s="7" t="s">
        <v>748</v>
      </c>
      <c r="B137" s="7" t="s">
        <v>749</v>
      </c>
      <c r="C137" s="7" t="s">
        <v>750</v>
      </c>
      <c r="D137" s="7" t="s">
        <v>23</v>
      </c>
      <c r="E137" s="7" t="s">
        <v>24</v>
      </c>
      <c r="F137" s="7" t="s">
        <v>751</v>
      </c>
      <c r="G137" s="7" t="s">
        <v>26</v>
      </c>
      <c r="H137" s="7" t="s">
        <v>567</v>
      </c>
      <c r="I137" s="7" t="s">
        <v>83</v>
      </c>
      <c r="J137" s="7" t="s">
        <v>168</v>
      </c>
      <c r="K137" s="7" t="s">
        <v>31</v>
      </c>
      <c r="L137" s="7" t="s">
        <v>32</v>
      </c>
      <c r="M137" s="7" t="s">
        <v>169</v>
      </c>
      <c r="N137" s="7" t="s">
        <v>33</v>
      </c>
      <c r="O137" s="7" t="s">
        <v>34</v>
      </c>
      <c r="P137" s="7" t="s">
        <v>35</v>
      </c>
      <c r="Q137" s="7">
        <v>5.0</v>
      </c>
      <c r="R137" s="7">
        <v>1.0</v>
      </c>
      <c r="S137" s="7">
        <v>3.0</v>
      </c>
      <c r="T137" s="5"/>
      <c r="U137" s="5"/>
      <c r="V137" s="5"/>
      <c r="W137" s="5"/>
      <c r="X137" s="5"/>
      <c r="Y137" s="5"/>
      <c r="Z137" s="5"/>
    </row>
    <row r="138" ht="14.25" customHeight="1">
      <c r="A138" s="7" t="s">
        <v>752</v>
      </c>
      <c r="B138" s="7" t="s">
        <v>753</v>
      </c>
      <c r="C138" s="7" t="s">
        <v>754</v>
      </c>
      <c r="D138" s="7" t="s">
        <v>23</v>
      </c>
      <c r="E138" s="7" t="s">
        <v>24</v>
      </c>
      <c r="F138" s="7" t="s">
        <v>755</v>
      </c>
      <c r="G138" s="7" t="s">
        <v>26</v>
      </c>
      <c r="H138" s="7" t="s">
        <v>756</v>
      </c>
      <c r="I138" s="7" t="s">
        <v>83</v>
      </c>
      <c r="J138" s="7" t="s">
        <v>77</v>
      </c>
      <c r="K138" s="7" t="s">
        <v>31</v>
      </c>
      <c r="L138" s="7" t="s">
        <v>32</v>
      </c>
      <c r="M138" s="7" t="s">
        <v>78</v>
      </c>
      <c r="N138" s="7" t="s">
        <v>33</v>
      </c>
      <c r="O138" s="7" t="s">
        <v>34</v>
      </c>
      <c r="P138" s="7" t="s">
        <v>35</v>
      </c>
      <c r="Q138" s="7">
        <v>10.0</v>
      </c>
      <c r="R138" s="7">
        <v>1.0</v>
      </c>
      <c r="S138" s="7">
        <v>3.0</v>
      </c>
      <c r="T138" s="5"/>
      <c r="U138" s="5"/>
      <c r="V138" s="5"/>
      <c r="W138" s="5"/>
      <c r="X138" s="5"/>
      <c r="Y138" s="5"/>
      <c r="Z138" s="5"/>
    </row>
    <row r="139" ht="14.25" customHeight="1">
      <c r="A139" s="7" t="s">
        <v>758</v>
      </c>
      <c r="B139" s="7" t="s">
        <v>759</v>
      </c>
      <c r="C139" s="7" t="s">
        <v>760</v>
      </c>
      <c r="D139" s="7" t="s">
        <v>23</v>
      </c>
      <c r="E139" s="7" t="s">
        <v>24</v>
      </c>
      <c r="F139" s="7" t="s">
        <v>761</v>
      </c>
      <c r="G139" s="7" t="s">
        <v>26</v>
      </c>
      <c r="H139" s="7" t="s">
        <v>762</v>
      </c>
      <c r="I139" s="7" t="s">
        <v>83</v>
      </c>
      <c r="J139" s="7" t="s">
        <v>120</v>
      </c>
      <c r="K139" s="7" t="s">
        <v>31</v>
      </c>
      <c r="L139" s="7" t="s">
        <v>32</v>
      </c>
      <c r="M139" s="7" t="s">
        <v>121</v>
      </c>
      <c r="N139" s="7" t="s">
        <v>33</v>
      </c>
      <c r="O139" s="7" t="s">
        <v>34</v>
      </c>
      <c r="P139" s="7" t="s">
        <v>35</v>
      </c>
      <c r="Q139" s="7">
        <v>7.0</v>
      </c>
      <c r="R139" s="7">
        <v>1.0</v>
      </c>
      <c r="S139" s="7">
        <v>3.0</v>
      </c>
      <c r="T139" s="5"/>
      <c r="U139" s="5"/>
      <c r="V139" s="5"/>
      <c r="W139" s="5"/>
      <c r="X139" s="5"/>
      <c r="Y139" s="5"/>
      <c r="Z139" s="5"/>
    </row>
    <row r="140" ht="14.25" customHeight="1">
      <c r="A140" s="7" t="s">
        <v>763</v>
      </c>
      <c r="B140" s="7" t="s">
        <v>764</v>
      </c>
      <c r="C140" s="7" t="s">
        <v>765</v>
      </c>
      <c r="D140" s="7" t="s">
        <v>23</v>
      </c>
      <c r="E140" s="7" t="s">
        <v>24</v>
      </c>
      <c r="F140" s="7" t="s">
        <v>766</v>
      </c>
      <c r="G140" s="7" t="s">
        <v>26</v>
      </c>
      <c r="H140" s="7" t="s">
        <v>767</v>
      </c>
      <c r="I140" s="7" t="s">
        <v>83</v>
      </c>
      <c r="J140" s="7" t="s">
        <v>84</v>
      </c>
      <c r="K140" s="7" t="s">
        <v>31</v>
      </c>
      <c r="L140" s="7" t="s">
        <v>32</v>
      </c>
      <c r="M140" s="7" t="s">
        <v>85</v>
      </c>
      <c r="N140" s="7" t="s">
        <v>33</v>
      </c>
      <c r="O140" s="7" t="s">
        <v>34</v>
      </c>
      <c r="P140" s="7" t="s">
        <v>35</v>
      </c>
      <c r="Q140" s="7">
        <v>6.0</v>
      </c>
      <c r="R140" s="7">
        <v>1.0</v>
      </c>
      <c r="S140" s="7">
        <v>2.0</v>
      </c>
      <c r="T140" s="5"/>
      <c r="U140" s="5"/>
      <c r="V140" s="5"/>
      <c r="W140" s="5"/>
      <c r="X140" s="5"/>
      <c r="Y140" s="5"/>
      <c r="Z140" s="5"/>
    </row>
    <row r="141" ht="14.25" customHeight="1">
      <c r="A141" s="7" t="s">
        <v>768</v>
      </c>
      <c r="B141" s="7" t="s">
        <v>769</v>
      </c>
      <c r="C141" s="7" t="s">
        <v>770</v>
      </c>
      <c r="D141" s="7" t="s">
        <v>23</v>
      </c>
      <c r="E141" s="7" t="s">
        <v>24</v>
      </c>
      <c r="F141" s="7" t="s">
        <v>771</v>
      </c>
      <c r="G141" s="7" t="s">
        <v>26</v>
      </c>
      <c r="H141" s="7" t="s">
        <v>772</v>
      </c>
      <c r="I141" s="7" t="s">
        <v>29</v>
      </c>
      <c r="J141" s="7" t="s">
        <v>30</v>
      </c>
      <c r="K141" s="7" t="s">
        <v>31</v>
      </c>
      <c r="L141" s="7" t="s">
        <v>32</v>
      </c>
      <c r="M141" s="7" t="s">
        <v>32</v>
      </c>
      <c r="N141" s="7" t="s">
        <v>33</v>
      </c>
      <c r="O141" s="7" t="s">
        <v>34</v>
      </c>
      <c r="P141" s="7" t="s">
        <v>35</v>
      </c>
      <c r="Q141" s="7">
        <v>27.0</v>
      </c>
      <c r="R141" s="7">
        <v>1.0</v>
      </c>
      <c r="S141" s="7">
        <v>3.0</v>
      </c>
      <c r="T141" s="5"/>
      <c r="U141" s="5"/>
      <c r="V141" s="5"/>
      <c r="W141" s="5"/>
      <c r="X141" s="5"/>
      <c r="Y141" s="5"/>
      <c r="Z141" s="5"/>
    </row>
    <row r="142" ht="14.25" customHeight="1">
      <c r="A142" s="7" t="s">
        <v>773</v>
      </c>
      <c r="B142" s="7" t="s">
        <v>774</v>
      </c>
      <c r="C142" s="7" t="s">
        <v>775</v>
      </c>
      <c r="D142" s="7" t="s">
        <v>23</v>
      </c>
      <c r="E142" s="7" t="s">
        <v>24</v>
      </c>
      <c r="F142" s="7" t="s">
        <v>776</v>
      </c>
      <c r="G142" s="7" t="s">
        <v>26</v>
      </c>
      <c r="H142" s="7" t="s">
        <v>777</v>
      </c>
      <c r="I142" s="7" t="s">
        <v>83</v>
      </c>
      <c r="J142" s="7" t="s">
        <v>84</v>
      </c>
      <c r="K142" s="7" t="s">
        <v>31</v>
      </c>
      <c r="L142" s="7" t="s">
        <v>32</v>
      </c>
      <c r="M142" s="7" t="s">
        <v>85</v>
      </c>
      <c r="N142" s="7" t="s">
        <v>33</v>
      </c>
      <c r="O142" s="7" t="s">
        <v>34</v>
      </c>
      <c r="P142" s="7" t="s">
        <v>35</v>
      </c>
      <c r="Q142" s="7">
        <v>7.0</v>
      </c>
      <c r="R142" s="7">
        <v>1.0</v>
      </c>
      <c r="S142" s="7">
        <v>3.0</v>
      </c>
      <c r="T142" s="5"/>
      <c r="U142" s="5"/>
      <c r="V142" s="5"/>
      <c r="W142" s="5"/>
      <c r="X142" s="5"/>
      <c r="Y142" s="5"/>
      <c r="Z142" s="5"/>
    </row>
    <row r="143" ht="14.25" customHeight="1">
      <c r="A143" s="7" t="s">
        <v>778</v>
      </c>
      <c r="B143" s="7" t="s">
        <v>779</v>
      </c>
      <c r="C143" s="7" t="s">
        <v>780</v>
      </c>
      <c r="D143" s="7" t="s">
        <v>23</v>
      </c>
      <c r="E143" s="7" t="s">
        <v>24</v>
      </c>
      <c r="F143" s="7" t="s">
        <v>781</v>
      </c>
      <c r="G143" s="7" t="s">
        <v>26</v>
      </c>
      <c r="H143" s="7" t="s">
        <v>782</v>
      </c>
      <c r="I143" s="7" t="s">
        <v>83</v>
      </c>
      <c r="J143" s="7" t="s">
        <v>42</v>
      </c>
      <c r="K143" s="7" t="s">
        <v>31</v>
      </c>
      <c r="L143" s="7" t="s">
        <v>32</v>
      </c>
      <c r="M143" s="7" t="s">
        <v>43</v>
      </c>
      <c r="N143" s="7" t="s">
        <v>33</v>
      </c>
      <c r="O143" s="7" t="s">
        <v>34</v>
      </c>
      <c r="P143" s="7" t="s">
        <v>35</v>
      </c>
      <c r="Q143" s="7">
        <v>10.0</v>
      </c>
      <c r="R143" s="7">
        <v>1.0</v>
      </c>
      <c r="S143" s="7">
        <v>3.0</v>
      </c>
      <c r="T143" s="5"/>
      <c r="U143" s="5"/>
      <c r="V143" s="5"/>
      <c r="W143" s="5"/>
      <c r="X143" s="5"/>
      <c r="Y143" s="5"/>
      <c r="Z143" s="5"/>
    </row>
    <row r="144" ht="14.25" customHeight="1">
      <c r="A144" s="7" t="s">
        <v>783</v>
      </c>
      <c r="B144" s="7" t="s">
        <v>784</v>
      </c>
      <c r="C144" s="7" t="s">
        <v>785</v>
      </c>
      <c r="D144" s="7" t="s">
        <v>23</v>
      </c>
      <c r="E144" s="7" t="s">
        <v>24</v>
      </c>
      <c r="F144" s="7" t="s">
        <v>786</v>
      </c>
      <c r="G144" s="7" t="s">
        <v>26</v>
      </c>
      <c r="H144" s="7" t="s">
        <v>787</v>
      </c>
      <c r="I144" s="7" t="s">
        <v>83</v>
      </c>
      <c r="J144" s="7" t="s">
        <v>112</v>
      </c>
      <c r="K144" s="7" t="s">
        <v>31</v>
      </c>
      <c r="L144" s="7" t="s">
        <v>32</v>
      </c>
      <c r="M144" s="7" t="s">
        <v>113</v>
      </c>
      <c r="N144" s="7" t="s">
        <v>33</v>
      </c>
      <c r="O144" s="7" t="s">
        <v>34</v>
      </c>
      <c r="P144" s="7" t="s">
        <v>35</v>
      </c>
      <c r="Q144" s="7">
        <v>9.0</v>
      </c>
      <c r="R144" s="7">
        <v>1.0</v>
      </c>
      <c r="S144" s="7">
        <v>3.0</v>
      </c>
      <c r="T144" s="5"/>
      <c r="U144" s="5"/>
      <c r="V144" s="5"/>
      <c r="W144" s="5"/>
      <c r="X144" s="5"/>
      <c r="Y144" s="5"/>
      <c r="Z144" s="5"/>
    </row>
    <row r="145" ht="14.25" customHeight="1">
      <c r="A145" s="7" t="s">
        <v>788</v>
      </c>
      <c r="B145" s="7" t="s">
        <v>789</v>
      </c>
      <c r="C145" s="7" t="s">
        <v>790</v>
      </c>
      <c r="D145" s="7" t="s">
        <v>23</v>
      </c>
      <c r="E145" s="7" t="s">
        <v>24</v>
      </c>
      <c r="F145" s="7" t="s">
        <v>791</v>
      </c>
      <c r="G145" s="7" t="s">
        <v>26</v>
      </c>
      <c r="H145" s="7" t="s">
        <v>792</v>
      </c>
      <c r="I145" s="7" t="s">
        <v>83</v>
      </c>
      <c r="J145" s="7" t="s">
        <v>112</v>
      </c>
      <c r="K145" s="7" t="s">
        <v>31</v>
      </c>
      <c r="L145" s="7" t="s">
        <v>32</v>
      </c>
      <c r="M145" s="7" t="s">
        <v>113</v>
      </c>
      <c r="N145" s="7" t="s">
        <v>33</v>
      </c>
      <c r="O145" s="7" t="s">
        <v>34</v>
      </c>
      <c r="P145" s="7" t="s">
        <v>35</v>
      </c>
      <c r="Q145" s="7">
        <v>11.0</v>
      </c>
      <c r="R145" s="7">
        <v>1.0</v>
      </c>
      <c r="S145" s="7">
        <v>3.0</v>
      </c>
      <c r="T145" s="5"/>
      <c r="U145" s="5"/>
      <c r="V145" s="5"/>
      <c r="W145" s="5"/>
      <c r="X145" s="5"/>
      <c r="Y145" s="5"/>
      <c r="Z145" s="5"/>
    </row>
    <row r="146" ht="14.25" customHeight="1">
      <c r="A146" s="7" t="s">
        <v>793</v>
      </c>
      <c r="B146" s="7" t="s">
        <v>794</v>
      </c>
      <c r="C146" s="7" t="s">
        <v>795</v>
      </c>
      <c r="D146" s="7" t="s">
        <v>23</v>
      </c>
      <c r="E146" s="7" t="s">
        <v>24</v>
      </c>
      <c r="F146" s="7" t="s">
        <v>796</v>
      </c>
      <c r="G146" s="7" t="s">
        <v>26</v>
      </c>
      <c r="H146" s="7" t="s">
        <v>797</v>
      </c>
      <c r="I146" s="7" t="s">
        <v>83</v>
      </c>
      <c r="J146" s="7" t="s">
        <v>112</v>
      </c>
      <c r="K146" s="7" t="s">
        <v>31</v>
      </c>
      <c r="L146" s="7" t="s">
        <v>32</v>
      </c>
      <c r="M146" s="7" t="s">
        <v>113</v>
      </c>
      <c r="N146" s="7" t="s">
        <v>33</v>
      </c>
      <c r="O146" s="7" t="s">
        <v>34</v>
      </c>
      <c r="P146" s="7" t="s">
        <v>35</v>
      </c>
      <c r="Q146" s="7">
        <v>7.0</v>
      </c>
      <c r="R146" s="7">
        <v>1.0</v>
      </c>
      <c r="S146" s="7">
        <v>2.0</v>
      </c>
      <c r="T146" s="5"/>
      <c r="U146" s="5"/>
      <c r="V146" s="5"/>
      <c r="W146" s="5"/>
      <c r="X146" s="5"/>
      <c r="Y146" s="5"/>
      <c r="Z146" s="5"/>
    </row>
    <row r="147" ht="14.25" customHeight="1">
      <c r="A147" s="7" t="s">
        <v>799</v>
      </c>
      <c r="B147" s="7" t="s">
        <v>800</v>
      </c>
      <c r="C147" s="7" t="s">
        <v>801</v>
      </c>
      <c r="D147" s="7" t="s">
        <v>23</v>
      </c>
      <c r="E147" s="7" t="s">
        <v>24</v>
      </c>
      <c r="F147" s="7" t="s">
        <v>802</v>
      </c>
      <c r="G147" s="7" t="s">
        <v>26</v>
      </c>
      <c r="H147" s="7" t="s">
        <v>803</v>
      </c>
      <c r="I147" s="7" t="s">
        <v>83</v>
      </c>
      <c r="J147" s="7" t="s">
        <v>127</v>
      </c>
      <c r="K147" s="7" t="s">
        <v>31</v>
      </c>
      <c r="L147" s="7" t="s">
        <v>32</v>
      </c>
      <c r="M147" s="7" t="s">
        <v>128</v>
      </c>
      <c r="N147" s="7" t="s">
        <v>33</v>
      </c>
      <c r="O147" s="7" t="s">
        <v>34</v>
      </c>
      <c r="P147" s="7" t="s">
        <v>35</v>
      </c>
      <c r="Q147" s="7">
        <v>34.0</v>
      </c>
      <c r="R147" s="7">
        <v>1.0</v>
      </c>
      <c r="S147" s="7">
        <v>3.0</v>
      </c>
      <c r="T147" s="5"/>
      <c r="U147" s="5"/>
      <c r="V147" s="5"/>
      <c r="W147" s="5"/>
      <c r="X147" s="5"/>
      <c r="Y147" s="5"/>
      <c r="Z147" s="5"/>
    </row>
    <row r="148" ht="14.25" customHeight="1">
      <c r="A148" s="7" t="s">
        <v>804</v>
      </c>
      <c r="B148" s="7" t="s">
        <v>805</v>
      </c>
      <c r="C148" s="7" t="s">
        <v>806</v>
      </c>
      <c r="D148" s="7" t="s">
        <v>23</v>
      </c>
      <c r="E148" s="7" t="s">
        <v>24</v>
      </c>
      <c r="F148" s="7" t="s">
        <v>807</v>
      </c>
      <c r="G148" s="7" t="s">
        <v>26</v>
      </c>
      <c r="H148" s="7" t="s">
        <v>808</v>
      </c>
      <c r="I148" s="7" t="s">
        <v>83</v>
      </c>
      <c r="J148" s="7" t="s">
        <v>52</v>
      </c>
      <c r="K148" s="7" t="s">
        <v>31</v>
      </c>
      <c r="L148" s="7" t="s">
        <v>32</v>
      </c>
      <c r="M148" s="7" t="s">
        <v>55</v>
      </c>
      <c r="N148" s="7" t="s">
        <v>33</v>
      </c>
      <c r="O148" s="7" t="s">
        <v>34</v>
      </c>
      <c r="P148" s="7" t="s">
        <v>35</v>
      </c>
      <c r="Q148" s="7">
        <v>18.0</v>
      </c>
      <c r="R148" s="7">
        <v>1.0</v>
      </c>
      <c r="S148" s="7">
        <v>3.0</v>
      </c>
      <c r="T148" s="5"/>
      <c r="U148" s="5"/>
      <c r="V148" s="5"/>
      <c r="W148" s="5"/>
      <c r="X148" s="5"/>
      <c r="Y148" s="5"/>
      <c r="Z148" s="5"/>
    </row>
    <row r="149" ht="14.25" customHeight="1">
      <c r="A149" s="7" t="s">
        <v>809</v>
      </c>
      <c r="B149" s="7" t="s">
        <v>810</v>
      </c>
      <c r="C149" s="7" t="s">
        <v>811</v>
      </c>
      <c r="D149" s="7" t="s">
        <v>23</v>
      </c>
      <c r="E149" s="7" t="s">
        <v>24</v>
      </c>
      <c r="F149" s="7" t="s">
        <v>812</v>
      </c>
      <c r="G149" s="7" t="s">
        <v>26</v>
      </c>
      <c r="H149" s="7" t="s">
        <v>813</v>
      </c>
      <c r="I149" s="7" t="s">
        <v>83</v>
      </c>
      <c r="J149" s="7" t="s">
        <v>52</v>
      </c>
      <c r="K149" s="7" t="s">
        <v>31</v>
      </c>
      <c r="L149" s="7" t="s">
        <v>32</v>
      </c>
      <c r="M149" s="7" t="s">
        <v>55</v>
      </c>
      <c r="N149" s="7" t="s">
        <v>33</v>
      </c>
      <c r="O149" s="7" t="s">
        <v>34</v>
      </c>
      <c r="P149" s="7" t="s">
        <v>35</v>
      </c>
      <c r="Q149" s="7">
        <v>7.0</v>
      </c>
      <c r="R149" s="7">
        <v>1.0</v>
      </c>
      <c r="S149" s="7">
        <v>3.0</v>
      </c>
      <c r="T149" s="5"/>
      <c r="U149" s="5"/>
      <c r="V149" s="5"/>
      <c r="W149" s="5"/>
      <c r="X149" s="5"/>
      <c r="Y149" s="5"/>
      <c r="Z149" s="5"/>
    </row>
    <row r="150" ht="14.25" customHeight="1">
      <c r="A150" s="7" t="s">
        <v>814</v>
      </c>
      <c r="B150" s="7" t="s">
        <v>815</v>
      </c>
      <c r="C150" s="7" t="s">
        <v>816</v>
      </c>
      <c r="D150" s="7" t="s">
        <v>23</v>
      </c>
      <c r="E150" s="7" t="s">
        <v>24</v>
      </c>
      <c r="F150" s="7" t="s">
        <v>817</v>
      </c>
      <c r="G150" s="7" t="s">
        <v>26</v>
      </c>
      <c r="H150" s="7" t="s">
        <v>331</v>
      </c>
      <c r="I150" s="7" t="s">
        <v>83</v>
      </c>
      <c r="J150" s="7" t="s">
        <v>52</v>
      </c>
      <c r="K150" s="7" t="s">
        <v>31</v>
      </c>
      <c r="L150" s="7" t="s">
        <v>32</v>
      </c>
      <c r="M150" s="7" t="s">
        <v>55</v>
      </c>
      <c r="N150" s="7" t="s">
        <v>33</v>
      </c>
      <c r="O150" s="7" t="s">
        <v>34</v>
      </c>
      <c r="P150" s="7" t="s">
        <v>35</v>
      </c>
      <c r="Q150" s="7">
        <v>2.0</v>
      </c>
      <c r="R150" s="7">
        <v>1.0</v>
      </c>
      <c r="S150" s="7">
        <v>1.0</v>
      </c>
      <c r="T150" s="5"/>
      <c r="U150" s="5"/>
      <c r="V150" s="5"/>
      <c r="W150" s="5"/>
      <c r="X150" s="5"/>
      <c r="Y150" s="5"/>
      <c r="Z150" s="5"/>
    </row>
    <row r="151" ht="14.25" customHeight="1">
      <c r="A151" s="7" t="s">
        <v>818</v>
      </c>
      <c r="B151" s="7" t="s">
        <v>819</v>
      </c>
      <c r="C151" s="7" t="s">
        <v>820</v>
      </c>
      <c r="D151" s="7" t="s">
        <v>23</v>
      </c>
      <c r="E151" s="7" t="s">
        <v>24</v>
      </c>
      <c r="F151" s="7" t="s">
        <v>821</v>
      </c>
      <c r="G151" s="7" t="s">
        <v>26</v>
      </c>
      <c r="H151" s="7" t="s">
        <v>822</v>
      </c>
      <c r="I151" s="7" t="s">
        <v>83</v>
      </c>
      <c r="J151" s="7" t="s">
        <v>52</v>
      </c>
      <c r="K151" s="7" t="s">
        <v>31</v>
      </c>
      <c r="L151" s="7" t="s">
        <v>32</v>
      </c>
      <c r="M151" s="7" t="s">
        <v>55</v>
      </c>
      <c r="N151" s="7" t="s">
        <v>33</v>
      </c>
      <c r="O151" s="7" t="s">
        <v>34</v>
      </c>
      <c r="P151" s="7" t="s">
        <v>35</v>
      </c>
      <c r="Q151" s="7">
        <v>5.0</v>
      </c>
      <c r="R151" s="7">
        <v>1.0</v>
      </c>
      <c r="S151" s="7">
        <v>3.0</v>
      </c>
      <c r="T151" s="5"/>
      <c r="U151" s="5"/>
      <c r="V151" s="5"/>
      <c r="W151" s="5"/>
      <c r="X151" s="5"/>
      <c r="Y151" s="5"/>
      <c r="Z151" s="5"/>
    </row>
    <row r="152" ht="14.25" customHeight="1">
      <c r="A152" s="7" t="s">
        <v>823</v>
      </c>
      <c r="B152" s="7" t="s">
        <v>824</v>
      </c>
      <c r="C152" s="7" t="s">
        <v>825</v>
      </c>
      <c r="D152" s="7" t="s">
        <v>23</v>
      </c>
      <c r="E152" s="7" t="s">
        <v>24</v>
      </c>
      <c r="F152" s="7" t="s">
        <v>826</v>
      </c>
      <c r="G152" s="7" t="s">
        <v>26</v>
      </c>
      <c r="H152" s="7" t="s">
        <v>827</v>
      </c>
      <c r="I152" s="7" t="s">
        <v>83</v>
      </c>
      <c r="J152" s="7" t="s">
        <v>52</v>
      </c>
      <c r="K152" s="7" t="s">
        <v>31</v>
      </c>
      <c r="L152" s="7" t="s">
        <v>32</v>
      </c>
      <c r="M152" s="7" t="s">
        <v>55</v>
      </c>
      <c r="N152" s="7" t="s">
        <v>33</v>
      </c>
      <c r="O152" s="7" t="s">
        <v>34</v>
      </c>
      <c r="P152" s="7" t="s">
        <v>35</v>
      </c>
      <c r="Q152" s="7">
        <v>13.0</v>
      </c>
      <c r="R152" s="7">
        <v>1.0</v>
      </c>
      <c r="S152" s="7">
        <v>3.0</v>
      </c>
      <c r="T152" s="5"/>
      <c r="U152" s="5"/>
      <c r="V152" s="5"/>
      <c r="W152" s="5"/>
      <c r="X152" s="5"/>
      <c r="Y152" s="5"/>
      <c r="Z152" s="5"/>
    </row>
    <row r="153" ht="14.25" customHeight="1">
      <c r="A153" s="7" t="s">
        <v>828</v>
      </c>
      <c r="B153" s="7" t="s">
        <v>829</v>
      </c>
      <c r="C153" s="7" t="s">
        <v>830</v>
      </c>
      <c r="D153" s="7" t="s">
        <v>23</v>
      </c>
      <c r="E153" s="7" t="s">
        <v>24</v>
      </c>
      <c r="F153" s="7" t="s">
        <v>831</v>
      </c>
      <c r="G153" s="7" t="s">
        <v>26</v>
      </c>
      <c r="H153" s="7" t="s">
        <v>832</v>
      </c>
      <c r="I153" s="7" t="s">
        <v>83</v>
      </c>
      <c r="J153" s="7" t="s">
        <v>52</v>
      </c>
      <c r="K153" s="7" t="s">
        <v>31</v>
      </c>
      <c r="L153" s="7" t="s">
        <v>32</v>
      </c>
      <c r="M153" s="7" t="s">
        <v>55</v>
      </c>
      <c r="N153" s="7" t="s">
        <v>33</v>
      </c>
      <c r="O153" s="7" t="s">
        <v>34</v>
      </c>
      <c r="P153" s="7" t="s">
        <v>35</v>
      </c>
      <c r="Q153" s="7">
        <v>11.0</v>
      </c>
      <c r="R153" s="7">
        <v>1.0</v>
      </c>
      <c r="S153" s="7">
        <v>3.0</v>
      </c>
      <c r="T153" s="5"/>
      <c r="U153" s="5"/>
      <c r="V153" s="5"/>
      <c r="W153" s="5"/>
      <c r="X153" s="5"/>
      <c r="Y153" s="5"/>
      <c r="Z153" s="5"/>
    </row>
    <row r="154" ht="14.25" customHeight="1">
      <c r="A154" s="7" t="s">
        <v>833</v>
      </c>
      <c r="B154" s="7" t="s">
        <v>834</v>
      </c>
      <c r="C154" s="7" t="s">
        <v>835</v>
      </c>
      <c r="D154" s="7" t="s">
        <v>23</v>
      </c>
      <c r="E154" s="7" t="s">
        <v>24</v>
      </c>
      <c r="F154" s="7" t="s">
        <v>836</v>
      </c>
      <c r="G154" s="7" t="s">
        <v>26</v>
      </c>
      <c r="H154" s="7" t="s">
        <v>837</v>
      </c>
      <c r="I154" s="7" t="s">
        <v>83</v>
      </c>
      <c r="J154" s="7" t="s">
        <v>120</v>
      </c>
      <c r="K154" s="7" t="s">
        <v>31</v>
      </c>
      <c r="L154" s="7" t="s">
        <v>32</v>
      </c>
      <c r="M154" s="7" t="s">
        <v>121</v>
      </c>
      <c r="N154" s="7" t="s">
        <v>33</v>
      </c>
      <c r="O154" s="7" t="s">
        <v>34</v>
      </c>
      <c r="P154" s="7" t="s">
        <v>35</v>
      </c>
      <c r="Q154" s="7">
        <v>8.0</v>
      </c>
      <c r="R154" s="7">
        <v>1.0</v>
      </c>
      <c r="S154" s="7">
        <v>3.0</v>
      </c>
      <c r="T154" s="5"/>
      <c r="U154" s="5"/>
      <c r="V154" s="5"/>
      <c r="W154" s="5"/>
      <c r="X154" s="5"/>
      <c r="Y154" s="5"/>
      <c r="Z154" s="5"/>
    </row>
    <row r="155" ht="14.25" customHeight="1">
      <c r="A155" s="7" t="s">
        <v>838</v>
      </c>
      <c r="B155" s="7" t="s">
        <v>839</v>
      </c>
      <c r="C155" s="7" t="s">
        <v>840</v>
      </c>
      <c r="D155" s="7" t="s">
        <v>23</v>
      </c>
      <c r="E155" s="7" t="s">
        <v>24</v>
      </c>
      <c r="F155" s="7" t="s">
        <v>841</v>
      </c>
      <c r="G155" s="7" t="s">
        <v>26</v>
      </c>
      <c r="H155" s="7" t="s">
        <v>842</v>
      </c>
      <c r="I155" s="7" t="s">
        <v>83</v>
      </c>
      <c r="J155" s="7" t="s">
        <v>120</v>
      </c>
      <c r="K155" s="7" t="s">
        <v>31</v>
      </c>
      <c r="L155" s="7" t="s">
        <v>32</v>
      </c>
      <c r="M155" s="7" t="s">
        <v>121</v>
      </c>
      <c r="N155" s="7" t="s">
        <v>33</v>
      </c>
      <c r="O155" s="7" t="s">
        <v>34</v>
      </c>
      <c r="P155" s="7" t="s">
        <v>35</v>
      </c>
      <c r="Q155" s="7">
        <v>11.0</v>
      </c>
      <c r="R155" s="7">
        <v>1.0</v>
      </c>
      <c r="S155" s="7">
        <v>3.0</v>
      </c>
      <c r="T155" s="5"/>
      <c r="U155" s="5"/>
      <c r="V155" s="5"/>
      <c r="W155" s="5"/>
      <c r="X155" s="5"/>
      <c r="Y155" s="5"/>
      <c r="Z155" s="5"/>
    </row>
    <row r="156" ht="14.25" customHeight="1">
      <c r="A156" s="7" t="s">
        <v>843</v>
      </c>
      <c r="B156" s="7" t="s">
        <v>844</v>
      </c>
      <c r="C156" s="7" t="s">
        <v>845</v>
      </c>
      <c r="D156" s="7" t="s">
        <v>23</v>
      </c>
      <c r="E156" s="7" t="s">
        <v>24</v>
      </c>
      <c r="F156" s="7" t="s">
        <v>846</v>
      </c>
      <c r="G156" s="7" t="s">
        <v>26</v>
      </c>
      <c r="H156" s="7" t="s">
        <v>847</v>
      </c>
      <c r="I156" s="7" t="s">
        <v>83</v>
      </c>
      <c r="J156" s="7" t="s">
        <v>127</v>
      </c>
      <c r="K156" s="7" t="s">
        <v>31</v>
      </c>
      <c r="L156" s="7" t="s">
        <v>32</v>
      </c>
      <c r="M156" s="7" t="s">
        <v>128</v>
      </c>
      <c r="N156" s="7" t="s">
        <v>33</v>
      </c>
      <c r="O156" s="7" t="s">
        <v>34</v>
      </c>
      <c r="P156" s="7" t="s">
        <v>35</v>
      </c>
      <c r="Q156" s="7">
        <v>11.0</v>
      </c>
      <c r="R156" s="7">
        <v>1.0</v>
      </c>
      <c r="S156" s="7">
        <v>3.0</v>
      </c>
      <c r="T156" s="5"/>
      <c r="U156" s="5"/>
      <c r="V156" s="5"/>
      <c r="W156" s="5"/>
      <c r="X156" s="5"/>
      <c r="Y156" s="5"/>
      <c r="Z156" s="5"/>
    </row>
    <row r="157" ht="14.25" customHeight="1">
      <c r="A157" s="7" t="s">
        <v>848</v>
      </c>
      <c r="B157" s="7" t="s">
        <v>849</v>
      </c>
      <c r="C157" s="7" t="s">
        <v>850</v>
      </c>
      <c r="D157" s="7" t="s">
        <v>23</v>
      </c>
      <c r="E157" s="7" t="s">
        <v>24</v>
      </c>
      <c r="F157" s="7" t="s">
        <v>851</v>
      </c>
      <c r="G157" s="7" t="s">
        <v>26</v>
      </c>
      <c r="H157" s="7" t="s">
        <v>852</v>
      </c>
      <c r="I157" s="7" t="s">
        <v>83</v>
      </c>
      <c r="J157" s="7" t="s">
        <v>112</v>
      </c>
      <c r="K157" s="7" t="s">
        <v>31</v>
      </c>
      <c r="L157" s="7" t="s">
        <v>32</v>
      </c>
      <c r="M157" s="7" t="s">
        <v>113</v>
      </c>
      <c r="N157" s="7" t="s">
        <v>33</v>
      </c>
      <c r="O157" s="7" t="s">
        <v>34</v>
      </c>
      <c r="P157" s="7" t="s">
        <v>35</v>
      </c>
      <c r="Q157" s="7">
        <v>6.0</v>
      </c>
      <c r="R157" s="7">
        <v>1.0</v>
      </c>
      <c r="S157" s="7">
        <v>3.0</v>
      </c>
      <c r="T157" s="5"/>
      <c r="U157" s="5"/>
      <c r="V157" s="5"/>
      <c r="W157" s="5"/>
      <c r="X157" s="5"/>
      <c r="Y157" s="5"/>
      <c r="Z157" s="5"/>
    </row>
    <row r="158" ht="14.25" customHeight="1">
      <c r="A158" s="7" t="s">
        <v>853</v>
      </c>
      <c r="B158" s="7" t="s">
        <v>854</v>
      </c>
      <c r="C158" s="7" t="s">
        <v>855</v>
      </c>
      <c r="D158" s="7" t="s">
        <v>23</v>
      </c>
      <c r="E158" s="7" t="s">
        <v>24</v>
      </c>
      <c r="F158" s="7" t="s">
        <v>856</v>
      </c>
      <c r="G158" s="7" t="s">
        <v>26</v>
      </c>
      <c r="H158" s="7" t="s">
        <v>857</v>
      </c>
      <c r="I158" s="7" t="s">
        <v>83</v>
      </c>
      <c r="J158" s="7" t="s">
        <v>127</v>
      </c>
      <c r="K158" s="7" t="s">
        <v>31</v>
      </c>
      <c r="L158" s="7" t="s">
        <v>32</v>
      </c>
      <c r="M158" s="7" t="s">
        <v>128</v>
      </c>
      <c r="N158" s="7" t="s">
        <v>33</v>
      </c>
      <c r="O158" s="7" t="s">
        <v>34</v>
      </c>
      <c r="P158" s="7" t="s">
        <v>35</v>
      </c>
      <c r="Q158" s="7">
        <v>8.0</v>
      </c>
      <c r="R158" s="7">
        <v>1.0</v>
      </c>
      <c r="S158" s="7">
        <v>3.0</v>
      </c>
      <c r="T158" s="5"/>
      <c r="U158" s="5"/>
      <c r="V158" s="5"/>
      <c r="W158" s="5"/>
      <c r="X158" s="5"/>
      <c r="Y158" s="5"/>
      <c r="Z158" s="5"/>
    </row>
    <row r="159" ht="14.25" customHeight="1">
      <c r="A159" s="7" t="s">
        <v>858</v>
      </c>
      <c r="B159" s="7" t="s">
        <v>859</v>
      </c>
      <c r="C159" s="7" t="s">
        <v>860</v>
      </c>
      <c r="D159" s="7" t="s">
        <v>23</v>
      </c>
      <c r="E159" s="7" t="s">
        <v>24</v>
      </c>
      <c r="F159" s="7" t="s">
        <v>861</v>
      </c>
      <c r="G159" s="7" t="s">
        <v>26</v>
      </c>
      <c r="H159" s="7" t="s">
        <v>862</v>
      </c>
      <c r="I159" s="7" t="s">
        <v>83</v>
      </c>
      <c r="J159" s="7" t="s">
        <v>95</v>
      </c>
      <c r="K159" s="7" t="s">
        <v>31</v>
      </c>
      <c r="L159" s="7" t="s">
        <v>32</v>
      </c>
      <c r="M159" s="7" t="s">
        <v>96</v>
      </c>
      <c r="N159" s="7" t="s">
        <v>33</v>
      </c>
      <c r="O159" s="7" t="s">
        <v>34</v>
      </c>
      <c r="P159" s="7" t="s">
        <v>35</v>
      </c>
      <c r="Q159" s="7">
        <v>3.0</v>
      </c>
      <c r="R159" s="7">
        <v>1.0</v>
      </c>
      <c r="S159" s="7">
        <v>1.0</v>
      </c>
      <c r="T159" s="5"/>
      <c r="U159" s="5"/>
      <c r="V159" s="5"/>
      <c r="W159" s="5"/>
      <c r="X159" s="5"/>
      <c r="Y159" s="5"/>
      <c r="Z159" s="5"/>
    </row>
    <row r="160" ht="14.25" customHeight="1">
      <c r="A160" s="7" t="s">
        <v>863</v>
      </c>
      <c r="B160" s="7" t="s">
        <v>864</v>
      </c>
      <c r="C160" s="7" t="s">
        <v>865</v>
      </c>
      <c r="D160" s="7" t="s">
        <v>23</v>
      </c>
      <c r="E160" s="7" t="s">
        <v>24</v>
      </c>
      <c r="F160" s="7" t="s">
        <v>866</v>
      </c>
      <c r="G160" s="7" t="s">
        <v>26</v>
      </c>
      <c r="H160" s="7" t="s">
        <v>866</v>
      </c>
      <c r="I160" s="7" t="s">
        <v>83</v>
      </c>
      <c r="J160" s="7" t="s">
        <v>120</v>
      </c>
      <c r="K160" s="7" t="s">
        <v>31</v>
      </c>
      <c r="L160" s="7" t="s">
        <v>32</v>
      </c>
      <c r="M160" s="7" t="s">
        <v>121</v>
      </c>
      <c r="N160" s="7" t="s">
        <v>33</v>
      </c>
      <c r="O160" s="7" t="s">
        <v>34</v>
      </c>
      <c r="P160" s="7" t="s">
        <v>35</v>
      </c>
      <c r="Q160" s="7">
        <v>11.0</v>
      </c>
      <c r="R160" s="7">
        <v>1.0</v>
      </c>
      <c r="S160" s="7">
        <v>3.0</v>
      </c>
      <c r="T160" s="5"/>
      <c r="U160" s="5"/>
      <c r="V160" s="5"/>
      <c r="W160" s="5"/>
      <c r="X160" s="5"/>
      <c r="Y160" s="5"/>
      <c r="Z160" s="5"/>
    </row>
    <row r="161" ht="14.25" customHeight="1">
      <c r="A161" s="7" t="s">
        <v>867</v>
      </c>
      <c r="B161" s="7" t="s">
        <v>868</v>
      </c>
      <c r="C161" s="7" t="s">
        <v>869</v>
      </c>
      <c r="D161" s="7" t="s">
        <v>23</v>
      </c>
      <c r="E161" s="7" t="s">
        <v>24</v>
      </c>
      <c r="F161" s="7" t="s">
        <v>870</v>
      </c>
      <c r="G161" s="7" t="s">
        <v>26</v>
      </c>
      <c r="H161" s="7" t="s">
        <v>871</v>
      </c>
      <c r="I161" s="7" t="s">
        <v>83</v>
      </c>
      <c r="J161" s="7" t="s">
        <v>52</v>
      </c>
      <c r="K161" s="7" t="s">
        <v>31</v>
      </c>
      <c r="L161" s="7" t="s">
        <v>32</v>
      </c>
      <c r="M161" s="7" t="s">
        <v>55</v>
      </c>
      <c r="N161" s="7" t="s">
        <v>33</v>
      </c>
      <c r="O161" s="7" t="s">
        <v>34</v>
      </c>
      <c r="P161" s="7" t="s">
        <v>35</v>
      </c>
      <c r="Q161" s="7">
        <v>7.0</v>
      </c>
      <c r="R161" s="7">
        <v>1.0</v>
      </c>
      <c r="S161" s="7">
        <v>3.0</v>
      </c>
      <c r="T161" s="5"/>
      <c r="U161" s="5"/>
      <c r="V161" s="5"/>
      <c r="W161" s="5"/>
      <c r="X161" s="5"/>
      <c r="Y161" s="5"/>
      <c r="Z161" s="5"/>
    </row>
    <row r="162" ht="14.25" customHeight="1">
      <c r="A162" s="7" t="s">
        <v>872</v>
      </c>
      <c r="B162" s="7" t="s">
        <v>873</v>
      </c>
      <c r="C162" s="7" t="s">
        <v>874</v>
      </c>
      <c r="D162" s="7" t="s">
        <v>23</v>
      </c>
      <c r="E162" s="7" t="s">
        <v>24</v>
      </c>
      <c r="F162" s="7" t="s">
        <v>875</v>
      </c>
      <c r="G162" s="7" t="s">
        <v>26</v>
      </c>
      <c r="H162" s="7" t="s">
        <v>875</v>
      </c>
      <c r="I162" s="7" t="s">
        <v>83</v>
      </c>
      <c r="J162" s="7" t="s">
        <v>84</v>
      </c>
      <c r="K162" s="7" t="s">
        <v>31</v>
      </c>
      <c r="L162" s="7" t="s">
        <v>32</v>
      </c>
      <c r="M162" s="7" t="s">
        <v>85</v>
      </c>
      <c r="N162" s="7" t="s">
        <v>33</v>
      </c>
      <c r="O162" s="7" t="s">
        <v>34</v>
      </c>
      <c r="P162" s="7" t="s">
        <v>35</v>
      </c>
      <c r="Q162" s="7">
        <v>11.0</v>
      </c>
      <c r="R162" s="7">
        <v>1.0</v>
      </c>
      <c r="S162" s="7">
        <v>3.0</v>
      </c>
      <c r="T162" s="5"/>
      <c r="U162" s="5"/>
      <c r="V162" s="5"/>
      <c r="W162" s="5"/>
      <c r="X162" s="5"/>
      <c r="Y162" s="5"/>
      <c r="Z162" s="5"/>
    </row>
    <row r="163" ht="14.25" customHeight="1">
      <c r="A163" s="7" t="s">
        <v>876</v>
      </c>
      <c r="B163" s="7" t="s">
        <v>877</v>
      </c>
      <c r="C163" s="7" t="s">
        <v>878</v>
      </c>
      <c r="D163" s="7" t="s">
        <v>23</v>
      </c>
      <c r="E163" s="7" t="s">
        <v>24</v>
      </c>
      <c r="F163" s="7" t="s">
        <v>879</v>
      </c>
      <c r="G163" s="7" t="s">
        <v>26</v>
      </c>
      <c r="H163" s="7" t="s">
        <v>879</v>
      </c>
      <c r="I163" s="7" t="s">
        <v>83</v>
      </c>
      <c r="J163" s="7" t="s">
        <v>112</v>
      </c>
      <c r="K163" s="7" t="s">
        <v>31</v>
      </c>
      <c r="L163" s="7" t="s">
        <v>32</v>
      </c>
      <c r="M163" s="7" t="s">
        <v>113</v>
      </c>
      <c r="N163" s="7" t="s">
        <v>33</v>
      </c>
      <c r="O163" s="7" t="s">
        <v>34</v>
      </c>
      <c r="P163" s="7" t="s">
        <v>35</v>
      </c>
      <c r="Q163" s="7">
        <v>11.0</v>
      </c>
      <c r="R163" s="7">
        <v>1.0</v>
      </c>
      <c r="S163" s="7">
        <v>3.0</v>
      </c>
      <c r="T163" s="5"/>
      <c r="U163" s="5"/>
      <c r="V163" s="5"/>
      <c r="W163" s="5"/>
      <c r="X163" s="5"/>
      <c r="Y163" s="5"/>
      <c r="Z163" s="5"/>
    </row>
    <row r="164" ht="14.25" customHeight="1">
      <c r="A164" s="7" t="s">
        <v>880</v>
      </c>
      <c r="B164" s="7" t="s">
        <v>881</v>
      </c>
      <c r="C164" s="7" t="s">
        <v>882</v>
      </c>
      <c r="D164" s="7" t="s">
        <v>23</v>
      </c>
      <c r="E164" s="7" t="s">
        <v>24</v>
      </c>
      <c r="F164" s="7" t="s">
        <v>883</v>
      </c>
      <c r="G164" s="7" t="s">
        <v>26</v>
      </c>
      <c r="H164" s="7" t="s">
        <v>883</v>
      </c>
      <c r="I164" s="7" t="s">
        <v>83</v>
      </c>
      <c r="J164" s="7" t="s">
        <v>52</v>
      </c>
      <c r="K164" s="7" t="s">
        <v>31</v>
      </c>
      <c r="L164" s="7" t="s">
        <v>32</v>
      </c>
      <c r="M164" s="7" t="s">
        <v>55</v>
      </c>
      <c r="N164" s="7" t="s">
        <v>33</v>
      </c>
      <c r="O164" s="7" t="s">
        <v>34</v>
      </c>
      <c r="P164" s="7" t="s">
        <v>35</v>
      </c>
      <c r="Q164" s="7">
        <v>11.0</v>
      </c>
      <c r="R164" s="7">
        <v>1.0</v>
      </c>
      <c r="S164" s="7">
        <v>3.0</v>
      </c>
      <c r="T164" s="5"/>
      <c r="U164" s="5"/>
      <c r="V164" s="5"/>
      <c r="W164" s="5"/>
      <c r="X164" s="5"/>
      <c r="Y164" s="5"/>
      <c r="Z164" s="5"/>
    </row>
    <row r="165" ht="14.25" customHeight="1">
      <c r="A165" s="7" t="s">
        <v>884</v>
      </c>
      <c r="B165" s="7" t="s">
        <v>885</v>
      </c>
      <c r="C165" s="7" t="s">
        <v>886</v>
      </c>
      <c r="D165" s="7" t="s">
        <v>23</v>
      </c>
      <c r="E165" s="7" t="s">
        <v>24</v>
      </c>
      <c r="F165" s="7" t="s">
        <v>887</v>
      </c>
      <c r="G165" s="7" t="s">
        <v>26</v>
      </c>
      <c r="H165" s="7" t="s">
        <v>888</v>
      </c>
      <c r="I165" s="7" t="s">
        <v>83</v>
      </c>
      <c r="J165" s="7" t="s">
        <v>42</v>
      </c>
      <c r="K165" s="7" t="s">
        <v>31</v>
      </c>
      <c r="L165" s="7" t="s">
        <v>32</v>
      </c>
      <c r="M165" s="7" t="s">
        <v>43</v>
      </c>
      <c r="N165" s="7" t="s">
        <v>33</v>
      </c>
      <c r="O165" s="7" t="s">
        <v>34</v>
      </c>
      <c r="P165" s="7" t="s">
        <v>35</v>
      </c>
      <c r="Q165" s="7">
        <v>4.0</v>
      </c>
      <c r="R165" s="7">
        <v>1.0</v>
      </c>
      <c r="S165" s="7">
        <v>2.0</v>
      </c>
      <c r="T165" s="5"/>
      <c r="U165" s="5"/>
      <c r="V165" s="5"/>
      <c r="W165" s="5"/>
      <c r="X165" s="5"/>
      <c r="Y165" s="5"/>
      <c r="Z165" s="5"/>
    </row>
    <row r="166" ht="14.25" customHeight="1">
      <c r="A166" s="7" t="s">
        <v>889</v>
      </c>
      <c r="B166" s="7" t="s">
        <v>890</v>
      </c>
      <c r="C166" s="7" t="s">
        <v>891</v>
      </c>
      <c r="D166" s="7" t="s">
        <v>23</v>
      </c>
      <c r="E166" s="7" t="s">
        <v>24</v>
      </c>
      <c r="F166" s="7" t="s">
        <v>892</v>
      </c>
      <c r="G166" s="7" t="s">
        <v>26</v>
      </c>
      <c r="H166" s="7" t="s">
        <v>893</v>
      </c>
      <c r="I166" s="7" t="s">
        <v>29</v>
      </c>
      <c r="J166" s="7" t="s">
        <v>112</v>
      </c>
      <c r="K166" s="7" t="s">
        <v>31</v>
      </c>
      <c r="L166" s="7" t="s">
        <v>32</v>
      </c>
      <c r="M166" s="7" t="s">
        <v>113</v>
      </c>
      <c r="N166" s="7" t="s">
        <v>33</v>
      </c>
      <c r="O166" s="7" t="s">
        <v>34</v>
      </c>
      <c r="P166" s="7" t="s">
        <v>35</v>
      </c>
      <c r="Q166" s="7">
        <v>11.0</v>
      </c>
      <c r="R166" s="7">
        <v>1.0</v>
      </c>
      <c r="S166" s="7">
        <v>3.0</v>
      </c>
      <c r="T166" s="5"/>
      <c r="U166" s="5"/>
      <c r="V166" s="5"/>
      <c r="W166" s="5"/>
      <c r="X166" s="5"/>
      <c r="Y166" s="5"/>
      <c r="Z166" s="5"/>
    </row>
    <row r="167" ht="14.25" customHeight="1">
      <c r="A167" s="7" t="s">
        <v>894</v>
      </c>
      <c r="B167" s="7" t="s">
        <v>895</v>
      </c>
      <c r="C167" s="7" t="s">
        <v>896</v>
      </c>
      <c r="D167" s="7" t="s">
        <v>23</v>
      </c>
      <c r="E167" s="7" t="s">
        <v>24</v>
      </c>
      <c r="F167" s="7" t="s">
        <v>897</v>
      </c>
      <c r="G167" s="7" t="s">
        <v>26</v>
      </c>
      <c r="H167" s="7" t="s">
        <v>898</v>
      </c>
      <c r="I167" s="7" t="s">
        <v>83</v>
      </c>
      <c r="J167" s="7" t="s">
        <v>52</v>
      </c>
      <c r="K167" s="7" t="s">
        <v>31</v>
      </c>
      <c r="L167" s="7" t="s">
        <v>32</v>
      </c>
      <c r="M167" s="7" t="s">
        <v>55</v>
      </c>
      <c r="N167" s="7" t="s">
        <v>33</v>
      </c>
      <c r="O167" s="7" t="s">
        <v>34</v>
      </c>
      <c r="P167" s="7" t="s">
        <v>35</v>
      </c>
      <c r="Q167" s="7">
        <v>9.0</v>
      </c>
      <c r="R167" s="7">
        <v>1.0</v>
      </c>
      <c r="S167" s="7">
        <v>3.0</v>
      </c>
      <c r="T167" s="5"/>
      <c r="U167" s="5"/>
      <c r="V167" s="5"/>
      <c r="W167" s="5"/>
      <c r="X167" s="5"/>
      <c r="Y167" s="5"/>
      <c r="Z167" s="5"/>
    </row>
    <row r="168" ht="14.25" customHeight="1">
      <c r="A168" s="7" t="s">
        <v>899</v>
      </c>
      <c r="B168" s="7" t="s">
        <v>900</v>
      </c>
      <c r="C168" s="7" t="s">
        <v>901</v>
      </c>
      <c r="D168" s="7" t="s">
        <v>23</v>
      </c>
      <c r="E168" s="7" t="s">
        <v>24</v>
      </c>
      <c r="F168" s="7" t="s">
        <v>902</v>
      </c>
      <c r="G168" s="7" t="s">
        <v>26</v>
      </c>
      <c r="H168" s="7" t="s">
        <v>902</v>
      </c>
      <c r="I168" s="7" t="s">
        <v>83</v>
      </c>
      <c r="J168" s="7" t="s">
        <v>84</v>
      </c>
      <c r="K168" s="7" t="s">
        <v>31</v>
      </c>
      <c r="L168" s="7" t="s">
        <v>32</v>
      </c>
      <c r="M168" s="7" t="s">
        <v>85</v>
      </c>
      <c r="N168" s="7" t="s">
        <v>33</v>
      </c>
      <c r="O168" s="7" t="s">
        <v>34</v>
      </c>
      <c r="P168" s="7" t="s">
        <v>35</v>
      </c>
      <c r="Q168" s="7">
        <v>10.0</v>
      </c>
      <c r="R168" s="7">
        <v>1.0</v>
      </c>
      <c r="S168" s="7">
        <v>3.0</v>
      </c>
      <c r="T168" s="5"/>
      <c r="U168" s="5"/>
      <c r="V168" s="5"/>
      <c r="W168" s="5"/>
      <c r="X168" s="5"/>
      <c r="Y168" s="5"/>
      <c r="Z168" s="5"/>
    </row>
    <row r="169" ht="14.25" customHeight="1">
      <c r="A169" s="7" t="s">
        <v>903</v>
      </c>
      <c r="B169" s="7" t="s">
        <v>904</v>
      </c>
      <c r="C169" s="7" t="s">
        <v>905</v>
      </c>
      <c r="D169" s="7" t="s">
        <v>23</v>
      </c>
      <c r="E169" s="7" t="s">
        <v>24</v>
      </c>
      <c r="F169" s="7" t="s">
        <v>906</v>
      </c>
      <c r="G169" s="7" t="s">
        <v>26</v>
      </c>
      <c r="H169" s="7" t="s">
        <v>906</v>
      </c>
      <c r="I169" s="7" t="s">
        <v>83</v>
      </c>
      <c r="J169" s="7" t="s">
        <v>95</v>
      </c>
      <c r="K169" s="7" t="s">
        <v>31</v>
      </c>
      <c r="L169" s="7" t="s">
        <v>32</v>
      </c>
      <c r="M169" s="7" t="s">
        <v>96</v>
      </c>
      <c r="N169" s="7" t="s">
        <v>33</v>
      </c>
      <c r="O169" s="7" t="s">
        <v>34</v>
      </c>
      <c r="P169" s="7" t="s">
        <v>35</v>
      </c>
      <c r="Q169" s="7">
        <v>6.0</v>
      </c>
      <c r="R169" s="7">
        <v>1.0</v>
      </c>
      <c r="S169" s="7">
        <v>3.0</v>
      </c>
      <c r="T169" s="5"/>
      <c r="U169" s="5"/>
      <c r="V169" s="5"/>
      <c r="W169" s="5"/>
      <c r="X169" s="5"/>
      <c r="Y169" s="5"/>
      <c r="Z169" s="5"/>
    </row>
    <row r="170" ht="14.25" customHeight="1">
      <c r="A170" s="7" t="s">
        <v>907</v>
      </c>
      <c r="B170" s="7" t="s">
        <v>908</v>
      </c>
      <c r="C170" s="7" t="s">
        <v>909</v>
      </c>
      <c r="D170" s="7" t="s">
        <v>23</v>
      </c>
      <c r="E170" s="7" t="s">
        <v>24</v>
      </c>
      <c r="F170" s="7" t="s">
        <v>910</v>
      </c>
      <c r="G170" s="7" t="s">
        <v>26</v>
      </c>
      <c r="H170" s="7" t="s">
        <v>910</v>
      </c>
      <c r="I170" s="7" t="s">
        <v>83</v>
      </c>
      <c r="J170" s="7" t="s">
        <v>95</v>
      </c>
      <c r="K170" s="7" t="s">
        <v>31</v>
      </c>
      <c r="L170" s="7" t="s">
        <v>32</v>
      </c>
      <c r="M170" s="7" t="s">
        <v>96</v>
      </c>
      <c r="N170" s="7" t="s">
        <v>33</v>
      </c>
      <c r="O170" s="7" t="s">
        <v>34</v>
      </c>
      <c r="P170" s="7" t="s">
        <v>35</v>
      </c>
      <c r="Q170" s="7">
        <v>3.0</v>
      </c>
      <c r="R170" s="7">
        <v>1.0</v>
      </c>
      <c r="S170" s="7">
        <v>2.0</v>
      </c>
      <c r="T170" s="5"/>
      <c r="U170" s="5"/>
      <c r="V170" s="5"/>
      <c r="W170" s="5"/>
      <c r="X170" s="5"/>
      <c r="Y170" s="5"/>
      <c r="Z170" s="5"/>
    </row>
    <row r="171" ht="14.25" customHeight="1">
      <c r="A171" s="7" t="s">
        <v>911</v>
      </c>
      <c r="B171" s="7" t="s">
        <v>912</v>
      </c>
      <c r="C171" s="7" t="s">
        <v>913</v>
      </c>
      <c r="D171" s="7" t="s">
        <v>23</v>
      </c>
      <c r="E171" s="7" t="s">
        <v>24</v>
      </c>
      <c r="F171" s="7" t="s">
        <v>914</v>
      </c>
      <c r="G171" s="7" t="s">
        <v>26</v>
      </c>
      <c r="H171" s="7" t="s">
        <v>914</v>
      </c>
      <c r="I171" s="7" t="s">
        <v>83</v>
      </c>
      <c r="J171" s="7" t="s">
        <v>179</v>
      </c>
      <c r="K171" s="7" t="s">
        <v>31</v>
      </c>
      <c r="L171" s="7" t="s">
        <v>32</v>
      </c>
      <c r="M171" s="7" t="s">
        <v>180</v>
      </c>
      <c r="N171" s="7" t="s">
        <v>33</v>
      </c>
      <c r="O171" s="7" t="s">
        <v>34</v>
      </c>
      <c r="P171" s="7" t="s">
        <v>35</v>
      </c>
      <c r="Q171" s="7">
        <v>3.0</v>
      </c>
      <c r="R171" s="7">
        <v>1.0</v>
      </c>
      <c r="S171" s="7">
        <v>3.0</v>
      </c>
      <c r="T171" s="5"/>
      <c r="U171" s="5"/>
      <c r="V171" s="5"/>
      <c r="W171" s="5"/>
      <c r="X171" s="5"/>
      <c r="Y171" s="5"/>
      <c r="Z171" s="5"/>
    </row>
    <row r="172" ht="14.25" customHeight="1">
      <c r="A172" s="7" t="s">
        <v>915</v>
      </c>
      <c r="B172" s="7" t="s">
        <v>916</v>
      </c>
      <c r="C172" s="7" t="s">
        <v>917</v>
      </c>
      <c r="D172" s="7" t="s">
        <v>23</v>
      </c>
      <c r="E172" s="7" t="s">
        <v>24</v>
      </c>
      <c r="F172" s="7" t="s">
        <v>918</v>
      </c>
      <c r="G172" s="7" t="s">
        <v>26</v>
      </c>
      <c r="H172" s="7" t="s">
        <v>918</v>
      </c>
      <c r="I172" s="7" t="s">
        <v>83</v>
      </c>
      <c r="J172" s="7" t="s">
        <v>120</v>
      </c>
      <c r="K172" s="7" t="s">
        <v>31</v>
      </c>
      <c r="L172" s="7" t="s">
        <v>32</v>
      </c>
      <c r="M172" s="7" t="s">
        <v>121</v>
      </c>
      <c r="N172" s="7" t="s">
        <v>33</v>
      </c>
      <c r="O172" s="7" t="s">
        <v>34</v>
      </c>
      <c r="P172" s="7" t="s">
        <v>35</v>
      </c>
      <c r="Q172" s="7">
        <v>3.0</v>
      </c>
      <c r="R172" s="7">
        <v>1.0</v>
      </c>
      <c r="S172" s="7">
        <v>1.0</v>
      </c>
      <c r="T172" s="5"/>
      <c r="U172" s="5"/>
      <c r="V172" s="5"/>
      <c r="W172" s="5"/>
      <c r="X172" s="5"/>
      <c r="Y172" s="5"/>
      <c r="Z172" s="5"/>
    </row>
    <row r="173" ht="14.25" customHeight="1">
      <c r="A173" s="7" t="s">
        <v>919</v>
      </c>
      <c r="B173" s="7" t="s">
        <v>920</v>
      </c>
      <c r="C173" s="7" t="s">
        <v>921</v>
      </c>
      <c r="D173" s="7" t="s">
        <v>23</v>
      </c>
      <c r="E173" s="7" t="s">
        <v>24</v>
      </c>
      <c r="F173" s="7" t="s">
        <v>922</v>
      </c>
      <c r="G173" s="7" t="s">
        <v>26</v>
      </c>
      <c r="H173" s="7" t="s">
        <v>923</v>
      </c>
      <c r="I173" s="7" t="s">
        <v>83</v>
      </c>
      <c r="J173" s="7" t="s">
        <v>112</v>
      </c>
      <c r="K173" s="7" t="s">
        <v>31</v>
      </c>
      <c r="L173" s="7" t="s">
        <v>32</v>
      </c>
      <c r="M173" s="7" t="s">
        <v>113</v>
      </c>
      <c r="N173" s="7" t="s">
        <v>33</v>
      </c>
      <c r="O173" s="7" t="s">
        <v>34</v>
      </c>
      <c r="P173" s="7" t="s">
        <v>35</v>
      </c>
      <c r="Q173" s="7">
        <v>19.0</v>
      </c>
      <c r="R173" s="7">
        <v>1.0</v>
      </c>
      <c r="S173" s="7">
        <v>3.0</v>
      </c>
      <c r="T173" s="5"/>
      <c r="U173" s="5"/>
      <c r="V173" s="5"/>
      <c r="W173" s="5"/>
      <c r="X173" s="5"/>
      <c r="Y173" s="5"/>
      <c r="Z173" s="5"/>
    </row>
    <row r="174" ht="14.25" customHeight="1">
      <c r="A174" s="7" t="s">
        <v>924</v>
      </c>
      <c r="B174" s="7" t="s">
        <v>925</v>
      </c>
      <c r="C174" s="7" t="s">
        <v>926</v>
      </c>
      <c r="D174" s="7" t="s">
        <v>23</v>
      </c>
      <c r="E174" s="7" t="s">
        <v>24</v>
      </c>
      <c r="F174" s="7" t="s">
        <v>927</v>
      </c>
      <c r="G174" s="7" t="s">
        <v>26</v>
      </c>
      <c r="H174" s="7" t="s">
        <v>927</v>
      </c>
      <c r="I174" s="7" t="s">
        <v>83</v>
      </c>
      <c r="J174" s="7" t="s">
        <v>120</v>
      </c>
      <c r="K174" s="7" t="s">
        <v>31</v>
      </c>
      <c r="L174" s="7" t="s">
        <v>32</v>
      </c>
      <c r="M174" s="7" t="s">
        <v>121</v>
      </c>
      <c r="N174" s="7" t="s">
        <v>33</v>
      </c>
      <c r="O174" s="7" t="s">
        <v>34</v>
      </c>
      <c r="P174" s="7" t="s">
        <v>35</v>
      </c>
      <c r="Q174" s="7">
        <v>4.0</v>
      </c>
      <c r="R174" s="7">
        <v>1.0</v>
      </c>
      <c r="S174" s="7">
        <v>2.0</v>
      </c>
      <c r="T174" s="5"/>
      <c r="U174" s="5"/>
      <c r="V174" s="5"/>
      <c r="W174" s="5"/>
      <c r="X174" s="5"/>
      <c r="Y174" s="5"/>
      <c r="Z174" s="5"/>
    </row>
    <row r="175" ht="14.25" customHeight="1">
      <c r="A175" s="7" t="s">
        <v>928</v>
      </c>
      <c r="B175" s="7" t="s">
        <v>929</v>
      </c>
      <c r="C175" s="7" t="s">
        <v>930</v>
      </c>
      <c r="D175" s="7" t="s">
        <v>23</v>
      </c>
      <c r="E175" s="7" t="s">
        <v>24</v>
      </c>
      <c r="F175" s="7" t="s">
        <v>931</v>
      </c>
      <c r="G175" s="7" t="s">
        <v>26</v>
      </c>
      <c r="H175" s="7" t="s">
        <v>931</v>
      </c>
      <c r="I175" s="7" t="s">
        <v>83</v>
      </c>
      <c r="J175" s="7" t="s">
        <v>120</v>
      </c>
      <c r="K175" s="7" t="s">
        <v>31</v>
      </c>
      <c r="L175" s="7" t="s">
        <v>32</v>
      </c>
      <c r="M175" s="7" t="s">
        <v>121</v>
      </c>
      <c r="N175" s="7" t="s">
        <v>33</v>
      </c>
      <c r="O175" s="7" t="s">
        <v>34</v>
      </c>
      <c r="P175" s="7" t="s">
        <v>35</v>
      </c>
      <c r="Q175" s="7">
        <v>11.0</v>
      </c>
      <c r="R175" s="7">
        <v>1.0</v>
      </c>
      <c r="S175" s="7">
        <v>2.0</v>
      </c>
      <c r="T175" s="5"/>
      <c r="U175" s="5"/>
      <c r="V175" s="5"/>
      <c r="W175" s="5"/>
      <c r="X175" s="5"/>
      <c r="Y175" s="5"/>
      <c r="Z175" s="5"/>
    </row>
    <row r="176" ht="14.25" customHeight="1">
      <c r="A176" s="7" t="s">
        <v>932</v>
      </c>
      <c r="B176" s="7" t="s">
        <v>933</v>
      </c>
      <c r="C176" s="7" t="s">
        <v>934</v>
      </c>
      <c r="D176" s="7" t="s">
        <v>23</v>
      </c>
      <c r="E176" s="7" t="s">
        <v>24</v>
      </c>
      <c r="F176" s="7" t="s">
        <v>935</v>
      </c>
      <c r="G176" s="7" t="s">
        <v>26</v>
      </c>
      <c r="H176" s="7" t="s">
        <v>935</v>
      </c>
      <c r="I176" s="7" t="s">
        <v>83</v>
      </c>
      <c r="J176" s="7" t="s">
        <v>120</v>
      </c>
      <c r="K176" s="7" t="s">
        <v>31</v>
      </c>
      <c r="L176" s="7" t="s">
        <v>32</v>
      </c>
      <c r="M176" s="7" t="s">
        <v>121</v>
      </c>
      <c r="N176" s="7" t="s">
        <v>33</v>
      </c>
      <c r="O176" s="7" t="s">
        <v>34</v>
      </c>
      <c r="P176" s="7" t="s">
        <v>35</v>
      </c>
      <c r="Q176" s="7">
        <v>6.0</v>
      </c>
      <c r="R176" s="7">
        <v>1.0</v>
      </c>
      <c r="S176" s="7">
        <v>3.0</v>
      </c>
      <c r="T176" s="5"/>
      <c r="U176" s="5"/>
      <c r="V176" s="5"/>
      <c r="W176" s="5"/>
      <c r="X176" s="5"/>
      <c r="Y176" s="5"/>
      <c r="Z176" s="5"/>
    </row>
    <row r="177" ht="14.25" customHeight="1">
      <c r="A177" s="7" t="s">
        <v>936</v>
      </c>
      <c r="B177" s="7" t="s">
        <v>937</v>
      </c>
      <c r="C177" s="7" t="s">
        <v>938</v>
      </c>
      <c r="D177" s="7" t="s">
        <v>23</v>
      </c>
      <c r="E177" s="7" t="s">
        <v>24</v>
      </c>
      <c r="F177" s="7" t="s">
        <v>939</v>
      </c>
      <c r="G177" s="7" t="s">
        <v>26</v>
      </c>
      <c r="H177" s="7" t="s">
        <v>939</v>
      </c>
      <c r="I177" s="7" t="s">
        <v>83</v>
      </c>
      <c r="J177" s="7" t="s">
        <v>120</v>
      </c>
      <c r="K177" s="7" t="s">
        <v>31</v>
      </c>
      <c r="L177" s="7" t="s">
        <v>32</v>
      </c>
      <c r="M177" s="7" t="s">
        <v>121</v>
      </c>
      <c r="N177" s="7" t="s">
        <v>33</v>
      </c>
      <c r="O177" s="7" t="s">
        <v>34</v>
      </c>
      <c r="P177" s="7" t="s">
        <v>35</v>
      </c>
      <c r="Q177" s="7">
        <v>7.0</v>
      </c>
      <c r="R177" s="7">
        <v>1.0</v>
      </c>
      <c r="S177" s="7">
        <v>2.0</v>
      </c>
      <c r="T177" s="5"/>
      <c r="U177" s="5"/>
      <c r="V177" s="5"/>
      <c r="W177" s="5"/>
      <c r="X177" s="5"/>
      <c r="Y177" s="5"/>
      <c r="Z177" s="5"/>
    </row>
    <row r="178" ht="14.25" customHeight="1">
      <c r="A178" s="7" t="s">
        <v>940</v>
      </c>
      <c r="B178" s="7" t="s">
        <v>941</v>
      </c>
      <c r="C178" s="7" t="s">
        <v>942</v>
      </c>
      <c r="D178" s="7" t="s">
        <v>23</v>
      </c>
      <c r="E178" s="7" t="s">
        <v>24</v>
      </c>
      <c r="F178" s="7" t="s">
        <v>943</v>
      </c>
      <c r="G178" s="7" t="s">
        <v>26</v>
      </c>
      <c r="H178" s="7" t="s">
        <v>943</v>
      </c>
      <c r="I178" s="7" t="s">
        <v>83</v>
      </c>
      <c r="J178" s="7" t="s">
        <v>120</v>
      </c>
      <c r="K178" s="7" t="s">
        <v>31</v>
      </c>
      <c r="L178" s="7" t="s">
        <v>32</v>
      </c>
      <c r="M178" s="7" t="s">
        <v>121</v>
      </c>
      <c r="N178" s="7" t="s">
        <v>33</v>
      </c>
      <c r="O178" s="7" t="s">
        <v>34</v>
      </c>
      <c r="P178" s="7" t="s">
        <v>35</v>
      </c>
      <c r="Q178" s="7">
        <v>12.0</v>
      </c>
      <c r="R178" s="7">
        <v>1.0</v>
      </c>
      <c r="S178" s="7">
        <v>3.0</v>
      </c>
      <c r="T178" s="5"/>
      <c r="U178" s="5"/>
      <c r="V178" s="5"/>
      <c r="W178" s="5"/>
      <c r="X178" s="5"/>
      <c r="Y178" s="5"/>
      <c r="Z178" s="5"/>
    </row>
    <row r="179" ht="14.25" customHeight="1">
      <c r="A179" s="7" t="s">
        <v>944</v>
      </c>
      <c r="B179" s="7" t="s">
        <v>945</v>
      </c>
      <c r="C179" s="7" t="s">
        <v>946</v>
      </c>
      <c r="D179" s="7" t="s">
        <v>23</v>
      </c>
      <c r="E179" s="7" t="s">
        <v>24</v>
      </c>
      <c r="F179" s="7" t="s">
        <v>947</v>
      </c>
      <c r="G179" s="7" t="s">
        <v>26</v>
      </c>
      <c r="H179" s="7" t="s">
        <v>947</v>
      </c>
      <c r="I179" s="7" t="s">
        <v>83</v>
      </c>
      <c r="J179" s="7" t="s">
        <v>112</v>
      </c>
      <c r="K179" s="7" t="s">
        <v>31</v>
      </c>
      <c r="L179" s="7" t="s">
        <v>32</v>
      </c>
      <c r="M179" s="7" t="s">
        <v>113</v>
      </c>
      <c r="N179" s="7" t="s">
        <v>33</v>
      </c>
      <c r="O179" s="7" t="s">
        <v>34</v>
      </c>
      <c r="P179" s="7" t="s">
        <v>35</v>
      </c>
      <c r="Q179" s="7">
        <v>15.0</v>
      </c>
      <c r="R179" s="7">
        <v>1.0</v>
      </c>
      <c r="S179" s="7">
        <v>3.0</v>
      </c>
      <c r="T179" s="5"/>
      <c r="U179" s="5"/>
      <c r="V179" s="5"/>
      <c r="W179" s="5"/>
      <c r="X179" s="5"/>
      <c r="Y179" s="5"/>
      <c r="Z179" s="5"/>
    </row>
    <row r="180" ht="14.25" customHeight="1">
      <c r="A180" s="7" t="s">
        <v>948</v>
      </c>
      <c r="B180" s="7" t="s">
        <v>949</v>
      </c>
      <c r="C180" s="7" t="s">
        <v>950</v>
      </c>
      <c r="D180" s="7" t="s">
        <v>23</v>
      </c>
      <c r="E180" s="7" t="s">
        <v>24</v>
      </c>
      <c r="F180" s="7" t="s">
        <v>951</v>
      </c>
      <c r="G180" s="7" t="s">
        <v>26</v>
      </c>
      <c r="H180" s="7" t="s">
        <v>63</v>
      </c>
      <c r="I180" s="7" t="s">
        <v>29</v>
      </c>
      <c r="J180" s="7" t="s">
        <v>30</v>
      </c>
      <c r="K180" s="7" t="s">
        <v>31</v>
      </c>
      <c r="L180" s="7" t="s">
        <v>32</v>
      </c>
      <c r="M180" s="7" t="s">
        <v>32</v>
      </c>
      <c r="N180" s="7" t="s">
        <v>33</v>
      </c>
      <c r="O180" s="7" t="s">
        <v>34</v>
      </c>
      <c r="P180" s="7" t="s">
        <v>35</v>
      </c>
      <c r="Q180" s="7">
        <v>54.0</v>
      </c>
      <c r="R180" s="7">
        <v>3.0</v>
      </c>
      <c r="S180" s="7">
        <v>3.0</v>
      </c>
      <c r="T180" s="5"/>
      <c r="U180" s="5"/>
      <c r="V180" s="5"/>
      <c r="W180" s="5"/>
      <c r="X180" s="5"/>
      <c r="Y180" s="5"/>
      <c r="Z180" s="5"/>
    </row>
    <row r="181" ht="14.25" customHeight="1">
      <c r="A181" s="7" t="s">
        <v>952</v>
      </c>
      <c r="B181" s="7" t="s">
        <v>953</v>
      </c>
      <c r="C181" s="7" t="s">
        <v>954</v>
      </c>
      <c r="D181" s="7" t="s">
        <v>23</v>
      </c>
      <c r="E181" s="7" t="s">
        <v>24</v>
      </c>
      <c r="F181" s="7" t="s">
        <v>955</v>
      </c>
      <c r="G181" s="7" t="s">
        <v>26</v>
      </c>
      <c r="H181" s="7" t="s">
        <v>63</v>
      </c>
      <c r="I181" s="7" t="s">
        <v>29</v>
      </c>
      <c r="J181" s="7" t="s">
        <v>30</v>
      </c>
      <c r="K181" s="7" t="s">
        <v>31</v>
      </c>
      <c r="L181" s="7" t="s">
        <v>32</v>
      </c>
      <c r="M181" s="7" t="s">
        <v>32</v>
      </c>
      <c r="N181" s="7" t="s">
        <v>33</v>
      </c>
      <c r="O181" s="7" t="s">
        <v>34</v>
      </c>
      <c r="P181" s="7" t="s">
        <v>35</v>
      </c>
      <c r="Q181" s="7">
        <v>207.0</v>
      </c>
      <c r="R181" s="7">
        <v>9.0</v>
      </c>
      <c r="S181" s="7">
        <v>8.0</v>
      </c>
      <c r="T181" s="5"/>
      <c r="U181" s="5"/>
      <c r="V181" s="5"/>
      <c r="W181" s="5"/>
      <c r="X181" s="5"/>
      <c r="Y181" s="5"/>
      <c r="Z181" s="5"/>
    </row>
    <row r="182" ht="14.25" customHeight="1">
      <c r="A182" s="7" t="s">
        <v>956</v>
      </c>
      <c r="B182" s="7" t="s">
        <v>957</v>
      </c>
      <c r="C182" s="7" t="s">
        <v>958</v>
      </c>
      <c r="D182" s="7" t="s">
        <v>23</v>
      </c>
      <c r="E182" s="7" t="s">
        <v>24</v>
      </c>
      <c r="F182" s="7" t="s">
        <v>959</v>
      </c>
      <c r="G182" s="7" t="s">
        <v>26</v>
      </c>
      <c r="H182" s="7" t="s">
        <v>63</v>
      </c>
      <c r="I182" s="7" t="s">
        <v>29</v>
      </c>
      <c r="J182" s="7" t="s">
        <v>30</v>
      </c>
      <c r="K182" s="7" t="s">
        <v>31</v>
      </c>
      <c r="L182" s="7" t="s">
        <v>32</v>
      </c>
      <c r="M182" s="7" t="s">
        <v>32</v>
      </c>
      <c r="N182" s="7" t="s">
        <v>33</v>
      </c>
      <c r="O182" s="7" t="s">
        <v>34</v>
      </c>
      <c r="P182" s="7" t="s">
        <v>35</v>
      </c>
      <c r="Q182" s="7">
        <v>62.0</v>
      </c>
      <c r="R182" s="7">
        <v>3.0</v>
      </c>
      <c r="S182" s="7">
        <v>3.0</v>
      </c>
      <c r="T182" s="5"/>
      <c r="U182" s="5"/>
      <c r="V182" s="5"/>
      <c r="W182" s="5"/>
      <c r="X182" s="5"/>
      <c r="Y182" s="5"/>
      <c r="Z182" s="5"/>
    </row>
    <row r="183" ht="14.25" customHeight="1">
      <c r="A183" s="7" t="s">
        <v>960</v>
      </c>
      <c r="B183" s="7" t="s">
        <v>961</v>
      </c>
      <c r="C183" s="7" t="s">
        <v>962</v>
      </c>
      <c r="D183" s="7" t="s">
        <v>23</v>
      </c>
      <c r="E183" s="7" t="s">
        <v>24</v>
      </c>
      <c r="F183" s="7" t="s">
        <v>963</v>
      </c>
      <c r="G183" s="7" t="s">
        <v>26</v>
      </c>
      <c r="H183" s="7" t="s">
        <v>964</v>
      </c>
      <c r="I183" s="7" t="s">
        <v>83</v>
      </c>
      <c r="J183" s="7" t="s">
        <v>84</v>
      </c>
      <c r="K183" s="7" t="s">
        <v>31</v>
      </c>
      <c r="L183" s="7" t="s">
        <v>32</v>
      </c>
      <c r="M183" s="7" t="s">
        <v>85</v>
      </c>
      <c r="N183" s="7" t="s">
        <v>33</v>
      </c>
      <c r="O183" s="7" t="s">
        <v>34</v>
      </c>
      <c r="P183" s="7" t="s">
        <v>35</v>
      </c>
      <c r="Q183" s="7">
        <v>12.0</v>
      </c>
      <c r="R183" s="7">
        <v>1.0</v>
      </c>
      <c r="S183" s="7">
        <v>3.0</v>
      </c>
      <c r="T183" s="5"/>
      <c r="U183" s="5"/>
      <c r="V183" s="5"/>
      <c r="W183" s="5"/>
      <c r="X183" s="5"/>
      <c r="Y183" s="5"/>
      <c r="Z183" s="5"/>
    </row>
    <row r="184" ht="14.25" customHeight="1">
      <c r="A184" s="7" t="s">
        <v>965</v>
      </c>
      <c r="B184" s="7" t="s">
        <v>966</v>
      </c>
      <c r="C184" s="7" t="s">
        <v>967</v>
      </c>
      <c r="D184" s="7" t="s">
        <v>23</v>
      </c>
      <c r="E184" s="7" t="s">
        <v>24</v>
      </c>
      <c r="F184" s="7" t="s">
        <v>968</v>
      </c>
      <c r="G184" s="7" t="s">
        <v>26</v>
      </c>
      <c r="H184" s="7" t="s">
        <v>969</v>
      </c>
      <c r="I184" s="7" t="s">
        <v>83</v>
      </c>
      <c r="J184" s="7" t="s">
        <v>127</v>
      </c>
      <c r="K184" s="7" t="s">
        <v>31</v>
      </c>
      <c r="L184" s="7" t="s">
        <v>32</v>
      </c>
      <c r="M184" s="7" t="s">
        <v>128</v>
      </c>
      <c r="N184" s="7" t="s">
        <v>33</v>
      </c>
      <c r="O184" s="7" t="s">
        <v>34</v>
      </c>
      <c r="P184" s="7" t="s">
        <v>35</v>
      </c>
      <c r="Q184" s="7">
        <v>38.0</v>
      </c>
      <c r="R184" s="7">
        <v>2.0</v>
      </c>
      <c r="S184" s="7">
        <v>3.0</v>
      </c>
      <c r="T184" s="5"/>
      <c r="U184" s="5"/>
      <c r="V184" s="5"/>
      <c r="W184" s="5"/>
      <c r="X184" s="5"/>
      <c r="Y184" s="5"/>
      <c r="Z184" s="5"/>
    </row>
    <row r="185" ht="14.25" customHeight="1">
      <c r="A185" s="7" t="s">
        <v>970</v>
      </c>
      <c r="B185" s="7" t="s">
        <v>971</v>
      </c>
      <c r="C185" s="7" t="s">
        <v>972</v>
      </c>
      <c r="D185" s="7" t="s">
        <v>23</v>
      </c>
      <c r="E185" s="7" t="s">
        <v>24</v>
      </c>
      <c r="F185" s="7" t="s">
        <v>973</v>
      </c>
      <c r="G185" s="7" t="s">
        <v>26</v>
      </c>
      <c r="H185" s="7" t="s">
        <v>974</v>
      </c>
      <c r="I185" s="7" t="s">
        <v>83</v>
      </c>
      <c r="J185" s="7" t="s">
        <v>179</v>
      </c>
      <c r="K185" s="7" t="s">
        <v>31</v>
      </c>
      <c r="L185" s="7" t="s">
        <v>32</v>
      </c>
      <c r="M185" s="7" t="s">
        <v>180</v>
      </c>
      <c r="N185" s="7" t="s">
        <v>33</v>
      </c>
      <c r="O185" s="7" t="s">
        <v>34</v>
      </c>
      <c r="P185" s="7" t="s">
        <v>35</v>
      </c>
      <c r="Q185" s="7">
        <v>4.0</v>
      </c>
      <c r="R185" s="7">
        <v>1.0</v>
      </c>
      <c r="S185" s="7">
        <v>3.0</v>
      </c>
      <c r="T185" s="5"/>
      <c r="U185" s="5"/>
      <c r="V185" s="5"/>
      <c r="W185" s="5"/>
      <c r="X185" s="5"/>
      <c r="Y185" s="5"/>
      <c r="Z185" s="5"/>
    </row>
    <row r="186" ht="14.25" customHeight="1">
      <c r="A186" s="7" t="s">
        <v>975</v>
      </c>
      <c r="B186" s="7" t="s">
        <v>976</v>
      </c>
      <c r="C186" s="7" t="s">
        <v>977</v>
      </c>
      <c r="D186" s="7" t="s">
        <v>23</v>
      </c>
      <c r="E186" s="7" t="s">
        <v>24</v>
      </c>
      <c r="F186" s="7" t="s">
        <v>978</v>
      </c>
      <c r="G186" s="7" t="s">
        <v>26</v>
      </c>
      <c r="H186" s="7" t="s">
        <v>979</v>
      </c>
      <c r="I186" s="7" t="s">
        <v>83</v>
      </c>
      <c r="J186" s="7" t="s">
        <v>77</v>
      </c>
      <c r="K186" s="7" t="s">
        <v>31</v>
      </c>
      <c r="L186" s="7" t="s">
        <v>32</v>
      </c>
      <c r="M186" s="7" t="s">
        <v>78</v>
      </c>
      <c r="N186" s="7" t="s">
        <v>33</v>
      </c>
      <c r="O186" s="7" t="s">
        <v>34</v>
      </c>
      <c r="P186" s="7" t="s">
        <v>35</v>
      </c>
      <c r="Q186" s="7">
        <v>13.0</v>
      </c>
      <c r="R186" s="7">
        <v>1.0</v>
      </c>
      <c r="S186" s="7">
        <v>3.0</v>
      </c>
      <c r="T186" s="5"/>
      <c r="U186" s="5"/>
      <c r="V186" s="5"/>
      <c r="W186" s="5"/>
      <c r="X186" s="5"/>
      <c r="Y186" s="5"/>
      <c r="Z186" s="5"/>
    </row>
    <row r="187" ht="14.25" customHeight="1">
      <c r="A187" s="7" t="s">
        <v>980</v>
      </c>
      <c r="B187" s="7" t="s">
        <v>981</v>
      </c>
      <c r="C187" s="7" t="s">
        <v>982</v>
      </c>
      <c r="D187" s="7" t="s">
        <v>23</v>
      </c>
      <c r="E187" s="7" t="s">
        <v>24</v>
      </c>
      <c r="F187" s="7" t="s">
        <v>25</v>
      </c>
      <c r="G187" s="7" t="s">
        <v>26</v>
      </c>
      <c r="H187" s="7" t="s">
        <v>983</v>
      </c>
      <c r="I187" s="7" t="s">
        <v>83</v>
      </c>
      <c r="J187" s="7" t="s">
        <v>77</v>
      </c>
      <c r="K187" s="7" t="s">
        <v>31</v>
      </c>
      <c r="L187" s="7" t="s">
        <v>32</v>
      </c>
      <c r="M187" s="7" t="s">
        <v>78</v>
      </c>
      <c r="N187" s="7" t="s">
        <v>33</v>
      </c>
      <c r="O187" s="7" t="s">
        <v>34</v>
      </c>
      <c r="P187" s="7" t="s">
        <v>35</v>
      </c>
      <c r="Q187" s="7">
        <v>18.0</v>
      </c>
      <c r="R187" s="7">
        <v>1.0</v>
      </c>
      <c r="S187" s="7">
        <v>3.0</v>
      </c>
      <c r="T187" s="5"/>
      <c r="U187" s="5"/>
      <c r="V187" s="5"/>
      <c r="W187" s="5"/>
      <c r="X187" s="5"/>
      <c r="Y187" s="5"/>
      <c r="Z187" s="5"/>
    </row>
    <row r="188" ht="14.25" customHeight="1">
      <c r="A188" s="7" t="s">
        <v>984</v>
      </c>
      <c r="B188" s="7" t="s">
        <v>985</v>
      </c>
      <c r="C188" s="7" t="s">
        <v>986</v>
      </c>
      <c r="D188" s="7" t="s">
        <v>23</v>
      </c>
      <c r="E188" s="7" t="s">
        <v>24</v>
      </c>
      <c r="F188" s="7" t="s">
        <v>987</v>
      </c>
      <c r="G188" s="7" t="s">
        <v>26</v>
      </c>
      <c r="H188" s="7" t="s">
        <v>987</v>
      </c>
      <c r="I188" s="7" t="s">
        <v>83</v>
      </c>
      <c r="J188" s="7" t="s">
        <v>84</v>
      </c>
      <c r="K188" s="7" t="s">
        <v>31</v>
      </c>
      <c r="L188" s="7" t="s">
        <v>32</v>
      </c>
      <c r="M188" s="7" t="s">
        <v>85</v>
      </c>
      <c r="N188" s="7" t="s">
        <v>33</v>
      </c>
      <c r="O188" s="7" t="s">
        <v>34</v>
      </c>
      <c r="P188" s="7" t="s">
        <v>35</v>
      </c>
      <c r="Q188" s="7">
        <v>6.0</v>
      </c>
      <c r="R188" s="7">
        <v>1.0</v>
      </c>
      <c r="S188" s="7">
        <v>3.0</v>
      </c>
      <c r="T188" s="5"/>
      <c r="U188" s="5"/>
      <c r="V188" s="5"/>
      <c r="W188" s="5"/>
      <c r="X188" s="5"/>
      <c r="Y188" s="5"/>
      <c r="Z188" s="5"/>
    </row>
    <row r="189" ht="14.25" customHeight="1">
      <c r="A189" s="7" t="s">
        <v>988</v>
      </c>
      <c r="B189" s="7" t="s">
        <v>989</v>
      </c>
      <c r="C189" s="7" t="s">
        <v>990</v>
      </c>
      <c r="D189" s="7" t="s">
        <v>23</v>
      </c>
      <c r="E189" s="7" t="s">
        <v>24</v>
      </c>
      <c r="F189" s="7" t="s">
        <v>25</v>
      </c>
      <c r="G189" s="7" t="s">
        <v>26</v>
      </c>
      <c r="H189" s="7" t="s">
        <v>991</v>
      </c>
      <c r="I189" s="7" t="s">
        <v>83</v>
      </c>
      <c r="J189" s="7" t="s">
        <v>77</v>
      </c>
      <c r="K189" s="7" t="s">
        <v>31</v>
      </c>
      <c r="L189" s="7" t="s">
        <v>32</v>
      </c>
      <c r="M189" s="7" t="s">
        <v>78</v>
      </c>
      <c r="N189" s="7" t="s">
        <v>33</v>
      </c>
      <c r="O189" s="7" t="s">
        <v>34</v>
      </c>
      <c r="P189" s="7" t="s">
        <v>35</v>
      </c>
      <c r="T189" s="5"/>
      <c r="U189" s="5"/>
      <c r="V189" s="5"/>
      <c r="W189" s="5"/>
      <c r="X189" s="5"/>
      <c r="Y189" s="5"/>
      <c r="Z189" s="5"/>
    </row>
    <row r="190" ht="14.25" customHeight="1">
      <c r="A190" s="7" t="s">
        <v>992</v>
      </c>
      <c r="B190" s="7" t="s">
        <v>993</v>
      </c>
      <c r="C190" s="7" t="s">
        <v>994</v>
      </c>
      <c r="D190" s="7" t="s">
        <v>23</v>
      </c>
      <c r="E190" s="7" t="s">
        <v>24</v>
      </c>
      <c r="F190" s="7" t="s">
        <v>995</v>
      </c>
      <c r="G190" s="7" t="s">
        <v>26</v>
      </c>
      <c r="H190" s="7" t="s">
        <v>996</v>
      </c>
      <c r="I190" s="7" t="s">
        <v>83</v>
      </c>
      <c r="J190" s="7" t="s">
        <v>42</v>
      </c>
      <c r="K190" s="7" t="s">
        <v>31</v>
      </c>
      <c r="L190" s="7" t="s">
        <v>32</v>
      </c>
      <c r="M190" s="7" t="s">
        <v>43</v>
      </c>
      <c r="N190" s="7" t="s">
        <v>33</v>
      </c>
      <c r="O190" s="7" t="s">
        <v>34</v>
      </c>
      <c r="P190" s="7" t="s">
        <v>35</v>
      </c>
      <c r="Q190" s="7">
        <v>14.0</v>
      </c>
      <c r="R190" s="7">
        <v>1.0</v>
      </c>
      <c r="S190" s="7">
        <v>2.0</v>
      </c>
      <c r="T190" s="5"/>
      <c r="U190" s="5"/>
      <c r="V190" s="5"/>
      <c r="W190" s="5"/>
      <c r="X190" s="5"/>
      <c r="Y190" s="5"/>
      <c r="Z190" s="5"/>
    </row>
    <row r="191" ht="14.25" customHeight="1">
      <c r="A191" s="7" t="s">
        <v>997</v>
      </c>
      <c r="B191" s="7" t="s">
        <v>998</v>
      </c>
      <c r="C191" s="7" t="s">
        <v>999</v>
      </c>
      <c r="D191" s="7" t="s">
        <v>23</v>
      </c>
      <c r="E191" s="7" t="s">
        <v>24</v>
      </c>
      <c r="F191" s="7" t="s">
        <v>1000</v>
      </c>
      <c r="G191" s="7" t="s">
        <v>26</v>
      </c>
      <c r="H191" s="7" t="s">
        <v>119</v>
      </c>
      <c r="I191" s="7" t="s">
        <v>29</v>
      </c>
      <c r="J191" s="7" t="s">
        <v>120</v>
      </c>
      <c r="K191" s="7" t="s">
        <v>31</v>
      </c>
      <c r="L191" s="7" t="s">
        <v>32</v>
      </c>
      <c r="M191" s="7" t="s">
        <v>121</v>
      </c>
      <c r="N191" s="7" t="s">
        <v>33</v>
      </c>
      <c r="O191" s="7" t="s">
        <v>34</v>
      </c>
      <c r="P191" s="7" t="s">
        <v>35</v>
      </c>
      <c r="Q191" s="7">
        <v>81.0</v>
      </c>
      <c r="R191" s="7">
        <v>5.0</v>
      </c>
      <c r="S191" s="7">
        <v>5.0</v>
      </c>
      <c r="T191" s="5"/>
      <c r="U191" s="5"/>
      <c r="V191" s="5"/>
      <c r="W191" s="5"/>
      <c r="X191" s="5"/>
      <c r="Y191" s="5"/>
      <c r="Z191" s="5"/>
    </row>
    <row r="192" ht="14.25" customHeight="1">
      <c r="A192" s="7" t="s">
        <v>1001</v>
      </c>
      <c r="B192" s="7" t="s">
        <v>1002</v>
      </c>
      <c r="C192" s="7" t="s">
        <v>1003</v>
      </c>
      <c r="D192" s="7" t="s">
        <v>23</v>
      </c>
      <c r="E192" s="7" t="s">
        <v>24</v>
      </c>
      <c r="F192" s="7" t="s">
        <v>1004</v>
      </c>
      <c r="G192" s="7" t="s">
        <v>26</v>
      </c>
      <c r="H192" s="7" t="s">
        <v>1005</v>
      </c>
      <c r="I192" s="7" t="s">
        <v>83</v>
      </c>
      <c r="J192" s="7" t="s">
        <v>84</v>
      </c>
      <c r="K192" s="7" t="s">
        <v>31</v>
      </c>
      <c r="L192" s="7" t="s">
        <v>32</v>
      </c>
      <c r="M192" s="7" t="s">
        <v>85</v>
      </c>
      <c r="N192" s="7" t="s">
        <v>33</v>
      </c>
      <c r="O192" s="7" t="s">
        <v>34</v>
      </c>
      <c r="P192" s="7" t="s">
        <v>35</v>
      </c>
      <c r="Q192" s="7">
        <v>8.0</v>
      </c>
      <c r="R192" s="7">
        <v>1.0</v>
      </c>
      <c r="S192" s="7">
        <v>2.0</v>
      </c>
      <c r="T192" s="5"/>
      <c r="U192" s="5"/>
      <c r="V192" s="5"/>
      <c r="W192" s="5"/>
      <c r="X192" s="5"/>
      <c r="Y192" s="5"/>
      <c r="Z192" s="5"/>
    </row>
    <row r="193" ht="14.25" customHeight="1">
      <c r="A193" s="7" t="s">
        <v>1006</v>
      </c>
      <c r="B193" s="7" t="s">
        <v>1007</v>
      </c>
      <c r="C193" s="7" t="s">
        <v>1008</v>
      </c>
      <c r="D193" s="7" t="s">
        <v>23</v>
      </c>
      <c r="E193" s="7" t="s">
        <v>24</v>
      </c>
      <c r="F193" s="7" t="s">
        <v>1009</v>
      </c>
      <c r="G193" s="7" t="s">
        <v>26</v>
      </c>
      <c r="H193" s="7" t="s">
        <v>1010</v>
      </c>
      <c r="I193" s="7" t="s">
        <v>29</v>
      </c>
      <c r="J193" s="7" t="s">
        <v>30</v>
      </c>
      <c r="K193" s="7" t="s">
        <v>31</v>
      </c>
      <c r="L193" s="7" t="s">
        <v>32</v>
      </c>
      <c r="M193" s="7" t="s">
        <v>32</v>
      </c>
      <c r="N193" s="7" t="s">
        <v>33</v>
      </c>
      <c r="O193" s="7" t="s">
        <v>34</v>
      </c>
      <c r="P193" s="7" t="s">
        <v>35</v>
      </c>
      <c r="Q193" s="7">
        <v>10.0</v>
      </c>
      <c r="R193" s="7">
        <v>1.0</v>
      </c>
      <c r="S193" s="7">
        <v>3.0</v>
      </c>
      <c r="T193" s="5"/>
      <c r="U193" s="5"/>
      <c r="V193" s="5"/>
      <c r="W193" s="5"/>
      <c r="X193" s="5"/>
      <c r="Y193" s="5"/>
      <c r="Z193" s="5"/>
    </row>
    <row r="194" ht="14.25" customHeight="1">
      <c r="A194" s="7" t="s">
        <v>1011</v>
      </c>
      <c r="B194" s="7" t="s">
        <v>1012</v>
      </c>
      <c r="C194" s="7" t="s">
        <v>1013</v>
      </c>
      <c r="D194" s="7" t="s">
        <v>23</v>
      </c>
      <c r="E194" s="7" t="s">
        <v>24</v>
      </c>
      <c r="F194" s="7" t="s">
        <v>1014</v>
      </c>
      <c r="G194" s="7" t="s">
        <v>26</v>
      </c>
      <c r="H194" s="7" t="s">
        <v>1015</v>
      </c>
      <c r="I194" s="7" t="s">
        <v>83</v>
      </c>
      <c r="J194" s="7" t="s">
        <v>95</v>
      </c>
      <c r="K194" s="7" t="s">
        <v>31</v>
      </c>
      <c r="L194" s="7" t="s">
        <v>32</v>
      </c>
      <c r="M194" s="7" t="s">
        <v>96</v>
      </c>
      <c r="N194" s="7" t="s">
        <v>33</v>
      </c>
      <c r="O194" s="7" t="s">
        <v>34</v>
      </c>
      <c r="P194" s="7" t="s">
        <v>35</v>
      </c>
      <c r="Q194" s="7">
        <v>7.0</v>
      </c>
      <c r="R194" s="7">
        <v>1.0</v>
      </c>
      <c r="S194" s="7">
        <v>3.0</v>
      </c>
      <c r="T194" s="5"/>
      <c r="U194" s="5"/>
      <c r="V194" s="5"/>
      <c r="W194" s="5"/>
      <c r="X194" s="5"/>
      <c r="Y194" s="5"/>
      <c r="Z194" s="5"/>
    </row>
    <row r="195" ht="14.25" customHeight="1">
      <c r="A195" s="7" t="s">
        <v>1016</v>
      </c>
      <c r="B195" s="7" t="s">
        <v>1017</v>
      </c>
      <c r="C195" s="7" t="s">
        <v>1018</v>
      </c>
      <c r="D195" s="7" t="s">
        <v>23</v>
      </c>
      <c r="E195" s="7" t="s">
        <v>24</v>
      </c>
      <c r="F195" s="7" t="s">
        <v>331</v>
      </c>
      <c r="G195" s="7" t="s">
        <v>26</v>
      </c>
      <c r="H195" s="7" t="s">
        <v>331</v>
      </c>
      <c r="I195" s="7" t="s">
        <v>83</v>
      </c>
      <c r="J195" s="7" t="s">
        <v>120</v>
      </c>
      <c r="K195" s="7" t="s">
        <v>31</v>
      </c>
      <c r="L195" s="7" t="s">
        <v>32</v>
      </c>
      <c r="M195" s="7" t="s">
        <v>121</v>
      </c>
      <c r="N195" s="7" t="s">
        <v>33</v>
      </c>
      <c r="O195" s="7" t="s">
        <v>34</v>
      </c>
      <c r="P195" s="7" t="s">
        <v>35</v>
      </c>
      <c r="Q195" s="7">
        <v>8.0</v>
      </c>
      <c r="R195" s="7">
        <v>1.0</v>
      </c>
      <c r="S195" s="7">
        <v>3.0</v>
      </c>
      <c r="T195" s="5"/>
      <c r="U195" s="5"/>
      <c r="V195" s="5"/>
      <c r="W195" s="5"/>
      <c r="X195" s="5"/>
      <c r="Y195" s="5"/>
      <c r="Z195" s="5"/>
    </row>
    <row r="196" ht="14.25" customHeight="1">
      <c r="A196" s="7" t="s">
        <v>1019</v>
      </c>
      <c r="B196" s="7" t="s">
        <v>1020</v>
      </c>
      <c r="C196" s="7" t="s">
        <v>1021</v>
      </c>
      <c r="D196" s="7" t="s">
        <v>23</v>
      </c>
      <c r="E196" s="7" t="s">
        <v>24</v>
      </c>
      <c r="F196" s="7" t="s">
        <v>25</v>
      </c>
      <c r="G196" s="7" t="s">
        <v>26</v>
      </c>
      <c r="H196" s="7" t="s">
        <v>1022</v>
      </c>
      <c r="I196" s="7" t="s">
        <v>83</v>
      </c>
      <c r="J196" s="7" t="s">
        <v>84</v>
      </c>
      <c r="K196" s="7" t="s">
        <v>31</v>
      </c>
      <c r="L196" s="7" t="s">
        <v>32</v>
      </c>
      <c r="M196" s="7" t="s">
        <v>85</v>
      </c>
      <c r="N196" s="7" t="s">
        <v>33</v>
      </c>
      <c r="O196" s="7" t="s">
        <v>34</v>
      </c>
      <c r="P196" s="7" t="s">
        <v>35</v>
      </c>
      <c r="Q196" s="7">
        <v>5.0</v>
      </c>
      <c r="R196" s="7">
        <v>1.0</v>
      </c>
      <c r="S196" s="7">
        <v>3.0</v>
      </c>
      <c r="T196" s="5"/>
      <c r="U196" s="5"/>
      <c r="V196" s="5"/>
      <c r="W196" s="5"/>
      <c r="X196" s="5"/>
      <c r="Y196" s="5"/>
      <c r="Z196" s="5"/>
    </row>
    <row r="197" ht="14.25" customHeight="1">
      <c r="A197" s="7" t="s">
        <v>1023</v>
      </c>
      <c r="B197" s="7" t="s">
        <v>1024</v>
      </c>
      <c r="C197" s="7" t="s">
        <v>1025</v>
      </c>
      <c r="D197" s="7" t="s">
        <v>23</v>
      </c>
      <c r="E197" s="7" t="s">
        <v>24</v>
      </c>
      <c r="F197" s="7" t="s">
        <v>25</v>
      </c>
      <c r="G197" s="7" t="s">
        <v>26</v>
      </c>
      <c r="H197" s="7" t="s">
        <v>1026</v>
      </c>
      <c r="I197" s="7" t="s">
        <v>83</v>
      </c>
      <c r="J197" s="7" t="s">
        <v>77</v>
      </c>
      <c r="K197" s="7" t="s">
        <v>31</v>
      </c>
      <c r="L197" s="7" t="s">
        <v>32</v>
      </c>
      <c r="M197" s="7" t="s">
        <v>78</v>
      </c>
      <c r="N197" s="7" t="s">
        <v>33</v>
      </c>
      <c r="O197" s="7" t="s">
        <v>34</v>
      </c>
      <c r="P197" s="7" t="s">
        <v>35</v>
      </c>
      <c r="Q197" s="7">
        <v>5.0</v>
      </c>
      <c r="R197" s="7">
        <v>1.0</v>
      </c>
      <c r="S197" s="7">
        <v>3.0</v>
      </c>
      <c r="T197" s="5"/>
      <c r="U197" s="5"/>
      <c r="V197" s="5"/>
      <c r="W197" s="5"/>
      <c r="X197" s="5"/>
      <c r="Y197" s="5"/>
      <c r="Z197" s="5"/>
    </row>
    <row r="198" ht="14.25" customHeight="1">
      <c r="A198" s="7" t="s">
        <v>1027</v>
      </c>
      <c r="B198" s="7" t="s">
        <v>1028</v>
      </c>
      <c r="C198" s="7" t="s">
        <v>1029</v>
      </c>
      <c r="D198" s="7" t="s">
        <v>23</v>
      </c>
      <c r="E198" s="7" t="s">
        <v>24</v>
      </c>
      <c r="F198" s="7" t="s">
        <v>1030</v>
      </c>
      <c r="G198" s="7" t="s">
        <v>1030</v>
      </c>
      <c r="H198" s="7" t="s">
        <v>1030</v>
      </c>
      <c r="I198" s="7" t="s">
        <v>83</v>
      </c>
      <c r="J198" s="7" t="s">
        <v>120</v>
      </c>
      <c r="K198" s="7" t="s">
        <v>31</v>
      </c>
      <c r="L198" s="7" t="s">
        <v>32</v>
      </c>
      <c r="M198" s="7" t="s">
        <v>121</v>
      </c>
      <c r="N198" s="7" t="s">
        <v>33</v>
      </c>
      <c r="O198" s="7" t="s">
        <v>34</v>
      </c>
      <c r="P198" s="7" t="s">
        <v>35</v>
      </c>
      <c r="Q198" s="7">
        <v>5.0</v>
      </c>
      <c r="R198" s="7">
        <v>1.0</v>
      </c>
      <c r="S198" s="7">
        <v>2.0</v>
      </c>
      <c r="T198" s="5"/>
      <c r="U198" s="5"/>
      <c r="V198" s="5"/>
      <c r="W198" s="5"/>
      <c r="X198" s="5"/>
      <c r="Y198" s="5"/>
      <c r="Z198" s="5"/>
    </row>
    <row r="199" ht="14.25" customHeight="1">
      <c r="A199" s="7" t="s">
        <v>1031</v>
      </c>
      <c r="B199" s="7" t="s">
        <v>1032</v>
      </c>
      <c r="C199" s="7" t="s">
        <v>1033</v>
      </c>
      <c r="D199" s="7" t="s">
        <v>23</v>
      </c>
      <c r="E199" s="7" t="s">
        <v>24</v>
      </c>
      <c r="F199" s="7" t="s">
        <v>751</v>
      </c>
      <c r="G199" s="7" t="s">
        <v>26</v>
      </c>
      <c r="H199" s="7" t="s">
        <v>567</v>
      </c>
      <c r="I199" s="7" t="s">
        <v>83</v>
      </c>
      <c r="J199" s="7" t="s">
        <v>120</v>
      </c>
      <c r="K199" s="7" t="s">
        <v>31</v>
      </c>
      <c r="L199" s="7" t="s">
        <v>32</v>
      </c>
      <c r="M199" s="7" t="s">
        <v>121</v>
      </c>
      <c r="N199" s="7" t="s">
        <v>33</v>
      </c>
      <c r="O199" s="7" t="s">
        <v>34</v>
      </c>
      <c r="P199" s="7" t="s">
        <v>35</v>
      </c>
      <c r="Q199" s="7">
        <v>8.0</v>
      </c>
      <c r="R199" s="7">
        <v>1.0</v>
      </c>
      <c r="S199" s="7">
        <v>2.0</v>
      </c>
      <c r="T199" s="5"/>
      <c r="U199" s="5"/>
      <c r="V199" s="5"/>
      <c r="W199" s="5"/>
      <c r="X199" s="5"/>
      <c r="Y199" s="5"/>
      <c r="Z199" s="5"/>
    </row>
    <row r="200" ht="14.25" customHeight="1">
      <c r="A200" s="7" t="s">
        <v>1034</v>
      </c>
      <c r="B200" s="7" t="s">
        <v>1035</v>
      </c>
      <c r="C200" s="7" t="s">
        <v>1036</v>
      </c>
      <c r="D200" s="7" t="s">
        <v>23</v>
      </c>
      <c r="E200" s="7" t="s">
        <v>24</v>
      </c>
      <c r="F200" s="7" t="s">
        <v>1037</v>
      </c>
      <c r="G200" s="7" t="s">
        <v>26</v>
      </c>
      <c r="H200" s="7" t="s">
        <v>1037</v>
      </c>
      <c r="I200" s="7" t="s">
        <v>83</v>
      </c>
      <c r="J200" s="7" t="s">
        <v>52</v>
      </c>
      <c r="K200" s="7" t="s">
        <v>31</v>
      </c>
      <c r="L200" s="7" t="s">
        <v>32</v>
      </c>
      <c r="M200" s="7" t="s">
        <v>55</v>
      </c>
      <c r="N200" s="7" t="s">
        <v>33</v>
      </c>
      <c r="O200" s="7" t="s">
        <v>34</v>
      </c>
      <c r="P200" s="7" t="s">
        <v>35</v>
      </c>
      <c r="Q200" s="7">
        <v>10.0</v>
      </c>
      <c r="R200" s="7">
        <v>1.0</v>
      </c>
      <c r="S200" s="7">
        <v>3.0</v>
      </c>
      <c r="T200" s="5"/>
      <c r="U200" s="5"/>
      <c r="V200" s="5"/>
      <c r="W200" s="5"/>
      <c r="X200" s="5"/>
      <c r="Y200" s="5"/>
      <c r="Z200" s="5"/>
    </row>
    <row r="201" ht="14.25" customHeight="1">
      <c r="A201" s="7" t="s">
        <v>1038</v>
      </c>
      <c r="B201" s="7" t="s">
        <v>1039</v>
      </c>
      <c r="C201" s="7" t="s">
        <v>1040</v>
      </c>
      <c r="D201" s="7" t="s">
        <v>23</v>
      </c>
      <c r="E201" s="7" t="s">
        <v>24</v>
      </c>
      <c r="F201" s="7" t="s">
        <v>1041</v>
      </c>
      <c r="G201" s="7" t="s">
        <v>26</v>
      </c>
      <c r="H201" s="7" t="s">
        <v>1041</v>
      </c>
      <c r="I201" s="7" t="s">
        <v>83</v>
      </c>
      <c r="J201" s="7" t="s">
        <v>120</v>
      </c>
      <c r="K201" s="7" t="s">
        <v>31</v>
      </c>
      <c r="L201" s="7" t="s">
        <v>32</v>
      </c>
      <c r="M201" s="7" t="s">
        <v>121</v>
      </c>
      <c r="N201" s="7" t="s">
        <v>33</v>
      </c>
      <c r="O201" s="7" t="s">
        <v>34</v>
      </c>
      <c r="P201" s="7" t="s">
        <v>35</v>
      </c>
      <c r="Q201" s="7">
        <v>11.0</v>
      </c>
      <c r="R201" s="7">
        <v>1.0</v>
      </c>
      <c r="S201" s="7">
        <v>3.0</v>
      </c>
      <c r="T201" s="5"/>
      <c r="U201" s="5"/>
      <c r="V201" s="5"/>
      <c r="W201" s="5"/>
      <c r="X201" s="5"/>
      <c r="Y201" s="5"/>
      <c r="Z201" s="5"/>
    </row>
    <row r="202" ht="14.25" customHeight="1">
      <c r="A202" s="7" t="s">
        <v>1042</v>
      </c>
      <c r="B202" s="7" t="s">
        <v>1043</v>
      </c>
      <c r="C202" s="7" t="s">
        <v>1044</v>
      </c>
      <c r="D202" s="7" t="s">
        <v>23</v>
      </c>
      <c r="E202" s="7" t="s">
        <v>24</v>
      </c>
      <c r="F202" s="7" t="s">
        <v>1045</v>
      </c>
      <c r="G202" s="7" t="s">
        <v>26</v>
      </c>
      <c r="H202" s="7" t="s">
        <v>1046</v>
      </c>
      <c r="I202" s="7" t="s">
        <v>83</v>
      </c>
      <c r="J202" s="7" t="s">
        <v>95</v>
      </c>
      <c r="K202" s="7" t="s">
        <v>31</v>
      </c>
      <c r="L202" s="7" t="s">
        <v>32</v>
      </c>
      <c r="M202" s="7" t="s">
        <v>96</v>
      </c>
      <c r="N202" s="7" t="s">
        <v>33</v>
      </c>
      <c r="O202" s="7" t="s">
        <v>34</v>
      </c>
      <c r="P202" s="7" t="s">
        <v>35</v>
      </c>
      <c r="Q202" s="7">
        <v>11.0</v>
      </c>
      <c r="R202" s="7">
        <v>1.0</v>
      </c>
      <c r="S202" s="7">
        <v>3.0</v>
      </c>
      <c r="T202" s="5"/>
      <c r="U202" s="5"/>
      <c r="V202" s="5"/>
      <c r="W202" s="5"/>
      <c r="X202" s="5"/>
      <c r="Y202" s="5"/>
      <c r="Z202" s="5"/>
    </row>
    <row r="203" ht="14.25" customHeight="1">
      <c r="A203" s="7" t="s">
        <v>1047</v>
      </c>
      <c r="B203" s="7" t="s">
        <v>1048</v>
      </c>
      <c r="C203" s="7" t="s">
        <v>1049</v>
      </c>
      <c r="D203" s="7" t="s">
        <v>23</v>
      </c>
      <c r="E203" s="7" t="s">
        <v>24</v>
      </c>
      <c r="F203" s="7" t="s">
        <v>1050</v>
      </c>
      <c r="G203" s="7" t="s">
        <v>26</v>
      </c>
      <c r="H203" s="7" t="s">
        <v>1050</v>
      </c>
      <c r="I203" s="7" t="s">
        <v>83</v>
      </c>
      <c r="J203" s="7" t="s">
        <v>30</v>
      </c>
      <c r="K203" s="7" t="s">
        <v>31</v>
      </c>
      <c r="L203" s="7" t="s">
        <v>32</v>
      </c>
      <c r="M203" s="7" t="s">
        <v>32</v>
      </c>
      <c r="N203" s="7" t="s">
        <v>33</v>
      </c>
      <c r="O203" s="7" t="s">
        <v>34</v>
      </c>
      <c r="P203" s="7" t="s">
        <v>35</v>
      </c>
      <c r="Q203" s="7">
        <v>7.0</v>
      </c>
      <c r="R203" s="7">
        <v>1.0</v>
      </c>
      <c r="S203" s="7">
        <v>3.0</v>
      </c>
      <c r="T203" s="5"/>
      <c r="U203" s="5"/>
      <c r="V203" s="5"/>
      <c r="W203" s="5"/>
      <c r="X203" s="5"/>
      <c r="Y203" s="5"/>
      <c r="Z203" s="5"/>
    </row>
    <row r="204" ht="14.25" customHeight="1">
      <c r="A204" s="7" t="s">
        <v>1051</v>
      </c>
      <c r="B204" s="7" t="s">
        <v>1052</v>
      </c>
      <c r="C204" s="7" t="s">
        <v>1053</v>
      </c>
      <c r="D204" s="7" t="s">
        <v>23</v>
      </c>
      <c r="E204" s="7" t="s">
        <v>24</v>
      </c>
      <c r="F204" s="7" t="s">
        <v>1054</v>
      </c>
      <c r="G204" s="7" t="s">
        <v>26</v>
      </c>
      <c r="H204" s="7" t="s">
        <v>1054</v>
      </c>
      <c r="I204" s="7" t="s">
        <v>83</v>
      </c>
      <c r="J204" s="7" t="s">
        <v>30</v>
      </c>
      <c r="K204" s="7" t="s">
        <v>31</v>
      </c>
      <c r="L204" s="7" t="s">
        <v>32</v>
      </c>
      <c r="M204" s="7" t="s">
        <v>32</v>
      </c>
      <c r="N204" s="7" t="s">
        <v>33</v>
      </c>
      <c r="O204" s="7" t="s">
        <v>34</v>
      </c>
      <c r="P204" s="7" t="s">
        <v>35</v>
      </c>
      <c r="Q204" s="7">
        <v>9.0</v>
      </c>
      <c r="R204" s="7">
        <v>1.0</v>
      </c>
      <c r="S204" s="7">
        <v>3.0</v>
      </c>
      <c r="T204" s="5"/>
      <c r="U204" s="5"/>
      <c r="V204" s="5"/>
      <c r="W204" s="5"/>
      <c r="X204" s="5"/>
      <c r="Y204" s="5"/>
      <c r="Z204" s="5"/>
    </row>
    <row r="205" ht="14.25" customHeight="1">
      <c r="A205" s="7" t="s">
        <v>1055</v>
      </c>
      <c r="B205" s="7" t="s">
        <v>1056</v>
      </c>
      <c r="C205" s="7" t="s">
        <v>1057</v>
      </c>
      <c r="D205" s="7" t="s">
        <v>23</v>
      </c>
      <c r="E205" s="7" t="s">
        <v>24</v>
      </c>
      <c r="F205" s="7" t="s">
        <v>1058</v>
      </c>
      <c r="G205" s="7" t="s">
        <v>26</v>
      </c>
      <c r="H205" s="7" t="s">
        <v>1058</v>
      </c>
      <c r="I205" s="7" t="s">
        <v>83</v>
      </c>
      <c r="J205" s="7" t="s">
        <v>30</v>
      </c>
      <c r="K205" s="7" t="s">
        <v>31</v>
      </c>
      <c r="L205" s="7" t="s">
        <v>32</v>
      </c>
      <c r="M205" s="7" t="s">
        <v>32</v>
      </c>
      <c r="N205" s="7" t="s">
        <v>33</v>
      </c>
      <c r="O205" s="7" t="s">
        <v>34</v>
      </c>
      <c r="P205" s="7" t="s">
        <v>35</v>
      </c>
      <c r="Q205" s="7">
        <v>3.0</v>
      </c>
      <c r="R205" s="7">
        <v>1.0</v>
      </c>
      <c r="S205" s="7">
        <v>1.0</v>
      </c>
      <c r="T205" s="5"/>
      <c r="U205" s="5"/>
      <c r="V205" s="5"/>
      <c r="W205" s="5"/>
      <c r="X205" s="5"/>
      <c r="Y205" s="5"/>
      <c r="Z205" s="5"/>
    </row>
    <row r="206" ht="14.25" customHeight="1">
      <c r="A206" s="7" t="s">
        <v>1059</v>
      </c>
      <c r="B206" s="7" t="s">
        <v>1060</v>
      </c>
      <c r="C206" s="7" t="s">
        <v>1061</v>
      </c>
      <c r="D206" s="7" t="s">
        <v>23</v>
      </c>
      <c r="E206" s="7" t="s">
        <v>24</v>
      </c>
      <c r="F206" s="7" t="s">
        <v>1062</v>
      </c>
      <c r="G206" s="7" t="s">
        <v>26</v>
      </c>
      <c r="H206" s="7" t="s">
        <v>1062</v>
      </c>
      <c r="I206" s="7" t="s">
        <v>83</v>
      </c>
      <c r="J206" s="7" t="s">
        <v>168</v>
      </c>
      <c r="K206" s="7" t="s">
        <v>31</v>
      </c>
      <c r="L206" s="7" t="s">
        <v>32</v>
      </c>
      <c r="M206" s="7" t="s">
        <v>169</v>
      </c>
      <c r="N206" s="7" t="s">
        <v>33</v>
      </c>
      <c r="O206" s="7" t="s">
        <v>34</v>
      </c>
      <c r="P206" s="7" t="s">
        <v>35</v>
      </c>
      <c r="Q206" s="7">
        <v>11.0</v>
      </c>
      <c r="R206" s="7">
        <v>1.0</v>
      </c>
      <c r="S206" s="7">
        <v>3.0</v>
      </c>
      <c r="T206" s="5"/>
      <c r="U206" s="5"/>
      <c r="V206" s="5"/>
      <c r="W206" s="5"/>
      <c r="X206" s="5"/>
      <c r="Y206" s="5"/>
      <c r="Z206" s="5"/>
    </row>
    <row r="207" ht="14.25" customHeight="1">
      <c r="A207" s="7" t="s">
        <v>1063</v>
      </c>
      <c r="B207" s="7" t="s">
        <v>1064</v>
      </c>
      <c r="C207" s="7" t="s">
        <v>1065</v>
      </c>
      <c r="D207" s="7" t="s">
        <v>23</v>
      </c>
      <c r="E207" s="7" t="s">
        <v>24</v>
      </c>
      <c r="F207" s="7" t="s">
        <v>1066</v>
      </c>
      <c r="G207" s="7" t="s">
        <v>26</v>
      </c>
      <c r="H207" s="7" t="s">
        <v>1066</v>
      </c>
      <c r="I207" s="7" t="s">
        <v>83</v>
      </c>
      <c r="J207" s="7" t="s">
        <v>77</v>
      </c>
      <c r="K207" s="7" t="s">
        <v>31</v>
      </c>
      <c r="L207" s="7" t="s">
        <v>32</v>
      </c>
      <c r="M207" s="7" t="s">
        <v>78</v>
      </c>
      <c r="N207" s="7" t="s">
        <v>33</v>
      </c>
      <c r="O207" s="7" t="s">
        <v>34</v>
      </c>
      <c r="P207" s="7" t="s">
        <v>35</v>
      </c>
      <c r="Q207" s="7">
        <v>4.0</v>
      </c>
      <c r="R207" s="7">
        <v>1.0</v>
      </c>
      <c r="S207" s="7">
        <v>3.0</v>
      </c>
      <c r="T207" s="5"/>
      <c r="U207" s="5"/>
      <c r="V207" s="5"/>
      <c r="W207" s="5"/>
      <c r="X207" s="5"/>
      <c r="Y207" s="5"/>
      <c r="Z207" s="5"/>
    </row>
    <row r="208" ht="14.25" customHeight="1">
      <c r="A208" s="7" t="s">
        <v>1067</v>
      </c>
      <c r="B208" s="7" t="s">
        <v>1068</v>
      </c>
      <c r="C208" s="7" t="s">
        <v>1069</v>
      </c>
      <c r="D208" s="7" t="s">
        <v>23</v>
      </c>
      <c r="E208" s="7" t="s">
        <v>24</v>
      </c>
      <c r="F208" s="7" t="s">
        <v>189</v>
      </c>
      <c r="G208" s="7" t="s">
        <v>26</v>
      </c>
      <c r="H208" s="7" t="s">
        <v>189</v>
      </c>
      <c r="I208" s="7" t="s">
        <v>83</v>
      </c>
      <c r="J208" s="7" t="s">
        <v>42</v>
      </c>
      <c r="K208" s="7" t="s">
        <v>31</v>
      </c>
      <c r="L208" s="7" t="s">
        <v>32</v>
      </c>
      <c r="M208" s="7" t="s">
        <v>43</v>
      </c>
      <c r="N208" s="7" t="s">
        <v>33</v>
      </c>
      <c r="O208" s="7" t="s">
        <v>34</v>
      </c>
      <c r="P208" s="7" t="s">
        <v>35</v>
      </c>
      <c r="Q208" s="7">
        <v>8.0</v>
      </c>
      <c r="R208" s="7">
        <v>1.0</v>
      </c>
      <c r="S208" s="7">
        <v>3.0</v>
      </c>
      <c r="T208" s="5"/>
      <c r="U208" s="5"/>
      <c r="V208" s="5"/>
      <c r="W208" s="5"/>
      <c r="X208" s="5"/>
      <c r="Y208" s="5"/>
      <c r="Z208" s="5"/>
    </row>
    <row r="209" ht="14.25" customHeight="1">
      <c r="A209" s="7" t="s">
        <v>1070</v>
      </c>
      <c r="B209" s="7" t="s">
        <v>1071</v>
      </c>
      <c r="C209" s="7" t="s">
        <v>1072</v>
      </c>
      <c r="D209" s="7" t="s">
        <v>23</v>
      </c>
      <c r="E209" s="7" t="s">
        <v>24</v>
      </c>
      <c r="F209" s="7" t="s">
        <v>1073</v>
      </c>
      <c r="G209" s="7" t="s">
        <v>26</v>
      </c>
      <c r="H209" s="7" t="s">
        <v>1073</v>
      </c>
      <c r="I209" s="7" t="s">
        <v>83</v>
      </c>
      <c r="J209" s="7" t="s">
        <v>120</v>
      </c>
      <c r="K209" s="7" t="s">
        <v>31</v>
      </c>
      <c r="L209" s="7" t="s">
        <v>32</v>
      </c>
      <c r="M209" s="7" t="s">
        <v>121</v>
      </c>
      <c r="N209" s="7" t="s">
        <v>33</v>
      </c>
      <c r="O209" s="7" t="s">
        <v>34</v>
      </c>
      <c r="P209" s="7" t="s">
        <v>35</v>
      </c>
      <c r="Q209" s="7">
        <v>11.0</v>
      </c>
      <c r="R209" s="7">
        <v>1.0</v>
      </c>
      <c r="S209" s="7">
        <v>3.0</v>
      </c>
      <c r="T209" s="5"/>
      <c r="U209" s="5"/>
      <c r="V209" s="5"/>
      <c r="W209" s="5"/>
      <c r="X209" s="5"/>
      <c r="Y209" s="5"/>
      <c r="Z209" s="5"/>
    </row>
    <row r="210" ht="14.25" customHeight="1">
      <c r="A210" s="7" t="s">
        <v>1074</v>
      </c>
      <c r="B210" s="7" t="s">
        <v>1075</v>
      </c>
      <c r="C210" s="7" t="s">
        <v>1076</v>
      </c>
      <c r="D210" s="7" t="s">
        <v>23</v>
      </c>
      <c r="E210" s="7" t="s">
        <v>24</v>
      </c>
      <c r="F210" s="7" t="s">
        <v>1077</v>
      </c>
      <c r="G210" s="7" t="s">
        <v>26</v>
      </c>
      <c r="H210" s="7" t="s">
        <v>1077</v>
      </c>
      <c r="I210" s="7" t="s">
        <v>83</v>
      </c>
      <c r="J210" s="7" t="s">
        <v>120</v>
      </c>
      <c r="K210" s="7" t="s">
        <v>31</v>
      </c>
      <c r="L210" s="7" t="s">
        <v>32</v>
      </c>
      <c r="M210" s="7" t="s">
        <v>121</v>
      </c>
      <c r="N210" s="7" t="s">
        <v>33</v>
      </c>
      <c r="O210" s="7" t="s">
        <v>34</v>
      </c>
      <c r="P210" s="7" t="s">
        <v>35</v>
      </c>
      <c r="Q210" s="7">
        <v>11.0</v>
      </c>
      <c r="R210" s="7">
        <v>1.0</v>
      </c>
      <c r="S210" s="7">
        <v>3.0</v>
      </c>
      <c r="T210" s="5"/>
      <c r="U210" s="5"/>
      <c r="V210" s="5"/>
      <c r="W210" s="5"/>
      <c r="X210" s="5"/>
      <c r="Y210" s="5"/>
      <c r="Z210" s="5"/>
    </row>
    <row r="211" ht="14.25" customHeight="1">
      <c r="A211" s="7" t="s">
        <v>1078</v>
      </c>
      <c r="B211" s="7" t="s">
        <v>1079</v>
      </c>
      <c r="C211" s="7" t="s">
        <v>1080</v>
      </c>
      <c r="D211" s="7" t="s">
        <v>23</v>
      </c>
      <c r="E211" s="7" t="s">
        <v>24</v>
      </c>
      <c r="F211" s="7" t="s">
        <v>1081</v>
      </c>
      <c r="G211" s="7" t="s">
        <v>26</v>
      </c>
      <c r="H211" s="7" t="s">
        <v>1081</v>
      </c>
      <c r="I211" s="7" t="s">
        <v>83</v>
      </c>
      <c r="J211" s="7" t="s">
        <v>120</v>
      </c>
      <c r="K211" s="7" t="s">
        <v>31</v>
      </c>
      <c r="L211" s="7" t="s">
        <v>32</v>
      </c>
      <c r="M211" s="7" t="s">
        <v>121</v>
      </c>
      <c r="N211" s="7" t="s">
        <v>33</v>
      </c>
      <c r="O211" s="7" t="s">
        <v>34</v>
      </c>
      <c r="P211" s="7" t="s">
        <v>35</v>
      </c>
      <c r="Q211" s="7">
        <v>8.0</v>
      </c>
      <c r="R211" s="7">
        <v>1.0</v>
      </c>
      <c r="S211" s="7">
        <v>3.0</v>
      </c>
      <c r="T211" s="5"/>
      <c r="U211" s="5"/>
      <c r="V211" s="5"/>
      <c r="W211" s="5"/>
      <c r="X211" s="5"/>
      <c r="Y211" s="5"/>
      <c r="Z211" s="5"/>
    </row>
    <row r="212" ht="14.25" customHeight="1">
      <c r="A212" s="7" t="s">
        <v>1082</v>
      </c>
      <c r="B212" s="7" t="s">
        <v>1083</v>
      </c>
      <c r="C212" s="7" t="s">
        <v>1084</v>
      </c>
      <c r="D212" s="7" t="s">
        <v>23</v>
      </c>
      <c r="E212" s="7" t="s">
        <v>24</v>
      </c>
      <c r="F212" s="7" t="s">
        <v>1085</v>
      </c>
      <c r="G212" s="7" t="s">
        <v>26</v>
      </c>
      <c r="H212" s="7" t="s">
        <v>1085</v>
      </c>
      <c r="I212" s="7" t="s">
        <v>83</v>
      </c>
      <c r="J212" s="7" t="s">
        <v>30</v>
      </c>
      <c r="K212" s="7" t="s">
        <v>31</v>
      </c>
      <c r="L212" s="7" t="s">
        <v>32</v>
      </c>
      <c r="M212" s="7" t="s">
        <v>32</v>
      </c>
      <c r="N212" s="7" t="s">
        <v>33</v>
      </c>
      <c r="O212" s="7" t="s">
        <v>34</v>
      </c>
      <c r="P212" s="7" t="s">
        <v>35</v>
      </c>
      <c r="Q212" s="7">
        <v>5.0</v>
      </c>
      <c r="R212" s="7">
        <v>1.0</v>
      </c>
      <c r="S212" s="7">
        <v>2.0</v>
      </c>
      <c r="T212" s="5"/>
      <c r="U212" s="5"/>
      <c r="V212" s="5"/>
      <c r="W212" s="5"/>
      <c r="X212" s="5"/>
      <c r="Y212" s="5"/>
      <c r="Z212" s="5"/>
    </row>
    <row r="213" ht="14.25" customHeight="1">
      <c r="A213" s="7" t="s">
        <v>1086</v>
      </c>
      <c r="B213" s="7" t="s">
        <v>1087</v>
      </c>
      <c r="C213" s="7" t="s">
        <v>1088</v>
      </c>
      <c r="D213" s="7" t="s">
        <v>23</v>
      </c>
      <c r="E213" s="7" t="s">
        <v>24</v>
      </c>
      <c r="F213" s="7" t="s">
        <v>1089</v>
      </c>
      <c r="G213" s="7" t="s">
        <v>26</v>
      </c>
      <c r="H213" s="7" t="s">
        <v>1089</v>
      </c>
      <c r="I213" s="7" t="s">
        <v>29</v>
      </c>
      <c r="J213" s="7" t="s">
        <v>30</v>
      </c>
      <c r="K213" s="7" t="s">
        <v>31</v>
      </c>
      <c r="L213" s="7" t="s">
        <v>32</v>
      </c>
      <c r="M213" s="7" t="s">
        <v>32</v>
      </c>
      <c r="N213" s="7" t="s">
        <v>33</v>
      </c>
      <c r="O213" s="7" t="s">
        <v>34</v>
      </c>
      <c r="P213" s="7" t="s">
        <v>35</v>
      </c>
      <c r="Q213" s="7">
        <v>17.0</v>
      </c>
      <c r="R213" s="7">
        <v>1.0</v>
      </c>
      <c r="S213" s="7">
        <v>3.0</v>
      </c>
      <c r="T213" s="5"/>
      <c r="U213" s="5"/>
      <c r="V213" s="5"/>
      <c r="W213" s="5"/>
      <c r="X213" s="5"/>
      <c r="Y213" s="5"/>
      <c r="Z213" s="5"/>
    </row>
    <row r="214" ht="14.25" customHeight="1">
      <c r="A214" s="7" t="s">
        <v>1090</v>
      </c>
      <c r="B214" s="7" t="s">
        <v>1091</v>
      </c>
      <c r="C214" s="7" t="s">
        <v>1092</v>
      </c>
      <c r="D214" s="7" t="s">
        <v>23</v>
      </c>
      <c r="E214" s="7" t="s">
        <v>24</v>
      </c>
      <c r="F214" s="7" t="s">
        <v>1093</v>
      </c>
      <c r="G214" s="7" t="s">
        <v>26</v>
      </c>
      <c r="H214" s="7" t="s">
        <v>459</v>
      </c>
      <c r="I214" s="7" t="s">
        <v>29</v>
      </c>
      <c r="J214" s="7" t="s">
        <v>30</v>
      </c>
      <c r="K214" s="7" t="s">
        <v>31</v>
      </c>
      <c r="L214" s="7" t="s">
        <v>32</v>
      </c>
      <c r="M214" s="7" t="s">
        <v>32</v>
      </c>
      <c r="N214" s="7" t="s">
        <v>33</v>
      </c>
      <c r="O214" s="7" t="s">
        <v>34</v>
      </c>
      <c r="P214" s="7" t="s">
        <v>35</v>
      </c>
      <c r="Q214" s="7">
        <v>50.0</v>
      </c>
      <c r="R214" s="7">
        <v>3.0</v>
      </c>
      <c r="S214" s="7">
        <v>3.0</v>
      </c>
      <c r="T214" s="5"/>
      <c r="U214" s="5"/>
      <c r="V214" s="5"/>
      <c r="W214" s="5"/>
      <c r="X214" s="5"/>
      <c r="Y214" s="5"/>
      <c r="Z214" s="5"/>
    </row>
    <row r="215" ht="14.25" customHeight="1">
      <c r="A215" s="7" t="s">
        <v>1094</v>
      </c>
      <c r="B215" s="7" t="s">
        <v>1095</v>
      </c>
      <c r="C215" s="7" t="s">
        <v>1096</v>
      </c>
      <c r="D215" s="7" t="s">
        <v>23</v>
      </c>
      <c r="E215" s="7" t="s">
        <v>192</v>
      </c>
      <c r="F215" s="7" t="s">
        <v>1097</v>
      </c>
      <c r="G215" s="7" t="s">
        <v>26</v>
      </c>
      <c r="H215" s="7" t="s">
        <v>63</v>
      </c>
      <c r="I215" s="7" t="s">
        <v>29</v>
      </c>
      <c r="J215" s="7" t="s">
        <v>30</v>
      </c>
      <c r="K215" s="7" t="s">
        <v>31</v>
      </c>
      <c r="L215" s="7" t="s">
        <v>32</v>
      </c>
      <c r="M215" s="7" t="s">
        <v>32</v>
      </c>
      <c r="N215" s="7" t="s">
        <v>33</v>
      </c>
      <c r="O215" s="7" t="s">
        <v>34</v>
      </c>
      <c r="P215" s="7" t="s">
        <v>35</v>
      </c>
      <c r="Q215" s="7">
        <v>2.0</v>
      </c>
      <c r="R215" s="7">
        <v>1.0</v>
      </c>
      <c r="S215" s="7">
        <v>1.0</v>
      </c>
      <c r="T215" s="5"/>
      <c r="U215" s="5"/>
      <c r="V215" s="5"/>
      <c r="W215" s="5"/>
      <c r="X215" s="5"/>
      <c r="Y215" s="5"/>
      <c r="Z215" s="5"/>
    </row>
    <row r="216" ht="14.25" customHeight="1">
      <c r="A216" s="7" t="s">
        <v>1098</v>
      </c>
      <c r="B216" s="7" t="s">
        <v>1099</v>
      </c>
      <c r="C216" s="7" t="s">
        <v>1100</v>
      </c>
      <c r="D216" s="7" t="s">
        <v>23</v>
      </c>
      <c r="E216" s="7" t="s">
        <v>24</v>
      </c>
      <c r="F216" s="7" t="s">
        <v>1101</v>
      </c>
      <c r="G216" s="7" t="s">
        <v>26</v>
      </c>
      <c r="H216" s="7" t="s">
        <v>1101</v>
      </c>
      <c r="I216" s="7" t="s">
        <v>83</v>
      </c>
      <c r="J216" s="7" t="s">
        <v>127</v>
      </c>
      <c r="K216" s="7" t="s">
        <v>31</v>
      </c>
      <c r="L216" s="7" t="s">
        <v>32</v>
      </c>
      <c r="M216" s="7" t="s">
        <v>128</v>
      </c>
      <c r="N216" s="7" t="s">
        <v>33</v>
      </c>
      <c r="O216" s="7" t="s">
        <v>34</v>
      </c>
      <c r="P216" s="7" t="s">
        <v>35</v>
      </c>
      <c r="Q216" s="7">
        <v>8.0</v>
      </c>
      <c r="R216" s="7">
        <v>1.0</v>
      </c>
      <c r="S216" s="7">
        <v>3.0</v>
      </c>
      <c r="T216" s="5"/>
      <c r="U216" s="5"/>
      <c r="V216" s="5"/>
      <c r="W216" s="5"/>
      <c r="X216" s="5"/>
      <c r="Y216" s="5"/>
      <c r="Z216" s="5"/>
    </row>
    <row r="217" ht="14.25" customHeight="1">
      <c r="A217" s="7" t="s">
        <v>1102</v>
      </c>
      <c r="B217" s="7" t="s">
        <v>1103</v>
      </c>
      <c r="C217" s="7" t="s">
        <v>1104</v>
      </c>
      <c r="D217" s="7" t="s">
        <v>23</v>
      </c>
      <c r="E217" s="7" t="s">
        <v>24</v>
      </c>
      <c r="F217" s="7" t="s">
        <v>1014</v>
      </c>
      <c r="G217" s="7" t="s">
        <v>26</v>
      </c>
      <c r="H217" s="7" t="s">
        <v>1105</v>
      </c>
      <c r="I217" s="7" t="s">
        <v>83</v>
      </c>
      <c r="J217" s="7" t="s">
        <v>120</v>
      </c>
      <c r="K217" s="7" t="s">
        <v>31</v>
      </c>
      <c r="L217" s="7" t="s">
        <v>32</v>
      </c>
      <c r="M217" s="7" t="s">
        <v>121</v>
      </c>
      <c r="N217" s="7" t="s">
        <v>33</v>
      </c>
      <c r="O217" s="7" t="s">
        <v>34</v>
      </c>
      <c r="P217" s="7" t="s">
        <v>35</v>
      </c>
      <c r="Q217" s="7">
        <v>9.0</v>
      </c>
      <c r="R217" s="7">
        <v>1.0</v>
      </c>
      <c r="S217" s="7">
        <v>3.0</v>
      </c>
      <c r="T217" s="5"/>
      <c r="U217" s="5"/>
      <c r="V217" s="5"/>
      <c r="W217" s="5"/>
      <c r="X217" s="5"/>
      <c r="Y217" s="5"/>
      <c r="Z217" s="5"/>
    </row>
    <row r="218" ht="14.25" customHeight="1">
      <c r="A218" s="7" t="s">
        <v>1106</v>
      </c>
      <c r="B218" s="7" t="s">
        <v>1107</v>
      </c>
      <c r="C218" s="7" t="s">
        <v>1108</v>
      </c>
      <c r="D218" s="7" t="s">
        <v>23</v>
      </c>
      <c r="E218" s="7" t="s">
        <v>192</v>
      </c>
      <c r="F218" s="7" t="s">
        <v>1109</v>
      </c>
      <c r="G218" s="7" t="s">
        <v>26</v>
      </c>
      <c r="H218" s="7" t="s">
        <v>63</v>
      </c>
      <c r="I218" s="7" t="s">
        <v>29</v>
      </c>
      <c r="J218" s="7" t="s">
        <v>30</v>
      </c>
      <c r="K218" s="7" t="s">
        <v>31</v>
      </c>
      <c r="L218" s="7" t="s">
        <v>32</v>
      </c>
      <c r="M218" s="7" t="s">
        <v>32</v>
      </c>
      <c r="N218" s="7" t="s">
        <v>33</v>
      </c>
      <c r="O218" s="7" t="s">
        <v>34</v>
      </c>
      <c r="P218" s="7" t="s">
        <v>35</v>
      </c>
      <c r="Q218" s="7">
        <v>10.0</v>
      </c>
      <c r="R218" s="7">
        <v>3.0</v>
      </c>
      <c r="S218" s="7">
        <v>3.0</v>
      </c>
      <c r="T218" s="5"/>
      <c r="U218" s="5"/>
      <c r="V218" s="5"/>
      <c r="W218" s="5"/>
      <c r="X218" s="5"/>
      <c r="Y218" s="5"/>
      <c r="Z218" s="5"/>
    </row>
    <row r="219" ht="14.25" customHeight="1">
      <c r="A219" s="7" t="s">
        <v>1110</v>
      </c>
      <c r="B219" s="7" t="s">
        <v>1111</v>
      </c>
      <c r="C219" s="7" t="s">
        <v>1112</v>
      </c>
      <c r="D219" s="7" t="s">
        <v>23</v>
      </c>
      <c r="E219" s="7" t="s">
        <v>192</v>
      </c>
      <c r="F219" s="7" t="s">
        <v>1113</v>
      </c>
      <c r="G219" s="7" t="s">
        <v>26</v>
      </c>
      <c r="H219" s="7" t="s">
        <v>63</v>
      </c>
      <c r="I219" s="7" t="s">
        <v>29</v>
      </c>
      <c r="J219" s="7" t="s">
        <v>30</v>
      </c>
      <c r="K219" s="7" t="s">
        <v>31</v>
      </c>
      <c r="L219" s="7" t="s">
        <v>32</v>
      </c>
      <c r="M219" s="7" t="s">
        <v>32</v>
      </c>
      <c r="N219" s="7" t="s">
        <v>33</v>
      </c>
      <c r="O219" s="7" t="s">
        <v>34</v>
      </c>
      <c r="P219" s="7" t="s">
        <v>35</v>
      </c>
      <c r="Q219" s="7">
        <v>4.0</v>
      </c>
      <c r="R219" s="7">
        <v>1.0</v>
      </c>
      <c r="S219" s="7">
        <v>2.0</v>
      </c>
      <c r="T219" s="5"/>
      <c r="U219" s="5"/>
      <c r="V219" s="5"/>
      <c r="W219" s="5"/>
      <c r="X219" s="5"/>
      <c r="Y219" s="5"/>
      <c r="Z219" s="5"/>
    </row>
    <row r="220" ht="14.25" customHeight="1">
      <c r="T220" s="5"/>
      <c r="U220" s="5"/>
      <c r="V220" s="5"/>
      <c r="W220" s="5"/>
      <c r="X220" s="5"/>
      <c r="Y220" s="5"/>
      <c r="Z220" s="5"/>
    </row>
    <row r="221" ht="14.25" customHeight="1">
      <c r="T221" s="5"/>
      <c r="U221" s="5"/>
      <c r="V221" s="5"/>
      <c r="W221" s="5"/>
      <c r="X221" s="5"/>
      <c r="Y221" s="5"/>
      <c r="Z221" s="5"/>
    </row>
    <row r="222" ht="14.25" customHeight="1">
      <c r="T222" s="5"/>
      <c r="U222" s="5"/>
      <c r="V222" s="5"/>
      <c r="W222" s="5"/>
      <c r="X222" s="5"/>
      <c r="Y222" s="5"/>
      <c r="Z222" s="5"/>
    </row>
    <row r="223" ht="14.25" customHeight="1">
      <c r="T223" s="5"/>
      <c r="U223" s="5"/>
      <c r="V223" s="5"/>
      <c r="W223" s="5"/>
      <c r="X223" s="5"/>
      <c r="Y223" s="5"/>
      <c r="Z223" s="5"/>
    </row>
    <row r="224" ht="14.25" customHeight="1">
      <c r="T224" s="5"/>
      <c r="U224" s="5"/>
      <c r="V224" s="5"/>
      <c r="W224" s="5"/>
      <c r="X224" s="5"/>
      <c r="Y224" s="5"/>
      <c r="Z224" s="5"/>
    </row>
    <row r="225" ht="14.25" customHeight="1">
      <c r="T225" s="5"/>
      <c r="U225" s="5"/>
      <c r="V225" s="5"/>
      <c r="W225" s="5"/>
      <c r="X225" s="5"/>
      <c r="Y225" s="5"/>
      <c r="Z225" s="5"/>
    </row>
    <row r="226" ht="14.25" customHeight="1">
      <c r="T226" s="5"/>
      <c r="U226" s="5"/>
      <c r="V226" s="5"/>
      <c r="W226" s="5"/>
      <c r="X226" s="5"/>
      <c r="Y226" s="5"/>
      <c r="Z226" s="5"/>
    </row>
    <row r="227" ht="14.25" customHeight="1">
      <c r="T227" s="5"/>
      <c r="U227" s="5"/>
      <c r="V227" s="5"/>
      <c r="W227" s="5"/>
      <c r="X227" s="5"/>
      <c r="Y227" s="5"/>
      <c r="Z227" s="5"/>
    </row>
    <row r="228" ht="14.25" customHeight="1">
      <c r="T228" s="5"/>
      <c r="U228" s="5"/>
      <c r="V228" s="5"/>
      <c r="W228" s="5"/>
      <c r="X228" s="5"/>
      <c r="Y228" s="5"/>
      <c r="Z228" s="5"/>
    </row>
    <row r="229" ht="14.25" customHeight="1">
      <c r="T229" s="5"/>
      <c r="U229" s="5"/>
      <c r="V229" s="5"/>
      <c r="W229" s="5"/>
      <c r="X229" s="5"/>
      <c r="Y229" s="5"/>
      <c r="Z229" s="5"/>
    </row>
    <row r="230" ht="14.25" customHeight="1">
      <c r="T230" s="5"/>
      <c r="U230" s="5"/>
      <c r="V230" s="5"/>
      <c r="W230" s="5"/>
      <c r="X230" s="5"/>
      <c r="Y230" s="5"/>
      <c r="Z230" s="5"/>
    </row>
    <row r="231" ht="14.25" customHeight="1">
      <c r="T231" s="5"/>
      <c r="U231" s="5"/>
      <c r="V231" s="5"/>
      <c r="W231" s="5"/>
      <c r="X231" s="5"/>
      <c r="Y231" s="5"/>
      <c r="Z231" s="5"/>
    </row>
    <row r="232" ht="14.25" customHeight="1">
      <c r="T232" s="5"/>
      <c r="U232" s="5"/>
      <c r="V232" s="5"/>
      <c r="W232" s="5"/>
      <c r="X232" s="5"/>
      <c r="Y232" s="5"/>
      <c r="Z232" s="5"/>
    </row>
    <row r="233" ht="14.25" customHeight="1">
      <c r="T233" s="5"/>
      <c r="U233" s="5"/>
      <c r="V233" s="5"/>
      <c r="W233" s="5"/>
      <c r="X233" s="5"/>
      <c r="Y233" s="5"/>
      <c r="Z233" s="5"/>
    </row>
    <row r="234" ht="14.25" customHeight="1">
      <c r="T234" s="5"/>
      <c r="U234" s="5"/>
      <c r="V234" s="5"/>
      <c r="W234" s="5"/>
      <c r="X234" s="5"/>
      <c r="Y234" s="5"/>
      <c r="Z234" s="5"/>
    </row>
    <row r="235" ht="14.25" customHeight="1">
      <c r="T235" s="5"/>
      <c r="U235" s="5"/>
      <c r="V235" s="5"/>
      <c r="W235" s="5"/>
      <c r="X235" s="5"/>
      <c r="Y235" s="5"/>
      <c r="Z235" s="5"/>
    </row>
    <row r="236" ht="14.25" customHeight="1">
      <c r="T236" s="5"/>
      <c r="U236" s="5"/>
      <c r="V236" s="5"/>
      <c r="W236" s="5"/>
      <c r="X236" s="5"/>
      <c r="Y236" s="5"/>
      <c r="Z236" s="5"/>
    </row>
    <row r="237" ht="14.25" customHeight="1">
      <c r="T237" s="5"/>
      <c r="U237" s="5"/>
      <c r="V237" s="5"/>
      <c r="W237" s="5"/>
      <c r="X237" s="5"/>
      <c r="Y237" s="5"/>
      <c r="Z237" s="5"/>
    </row>
    <row r="238" ht="14.25" customHeight="1">
      <c r="T238" s="5"/>
      <c r="U238" s="5"/>
      <c r="V238" s="5"/>
      <c r="W238" s="5"/>
      <c r="X238" s="5"/>
      <c r="Y238" s="5"/>
      <c r="Z238" s="5"/>
    </row>
    <row r="239" ht="14.25" customHeight="1">
      <c r="T239" s="5"/>
      <c r="U239" s="5"/>
      <c r="V239" s="5"/>
      <c r="W239" s="5"/>
      <c r="X239" s="5"/>
      <c r="Y239" s="5"/>
      <c r="Z239" s="5"/>
    </row>
    <row r="240" ht="14.25" customHeight="1">
      <c r="T240" s="5"/>
      <c r="U240" s="5"/>
      <c r="V240" s="5"/>
      <c r="W240" s="5"/>
      <c r="X240" s="5"/>
      <c r="Y240" s="5"/>
      <c r="Z240" s="5"/>
    </row>
    <row r="241" ht="14.25" customHeight="1">
      <c r="T241" s="5"/>
      <c r="U241" s="5"/>
      <c r="V241" s="5"/>
      <c r="W241" s="5"/>
      <c r="X241" s="5"/>
      <c r="Y241" s="5"/>
      <c r="Z241" s="5"/>
    </row>
    <row r="242" ht="14.25" customHeight="1">
      <c r="T242" s="5"/>
      <c r="U242" s="5"/>
      <c r="V242" s="5"/>
      <c r="W242" s="5"/>
      <c r="X242" s="5"/>
      <c r="Y242" s="5"/>
      <c r="Z242" s="5"/>
    </row>
    <row r="243" ht="14.25" customHeight="1">
      <c r="T243" s="5"/>
      <c r="U243" s="5"/>
      <c r="V243" s="5"/>
      <c r="W243" s="5"/>
      <c r="X243" s="5"/>
      <c r="Y243" s="5"/>
      <c r="Z243" s="5"/>
    </row>
    <row r="244" ht="14.25" customHeight="1">
      <c r="T244" s="5"/>
      <c r="U244" s="5"/>
      <c r="V244" s="5"/>
      <c r="W244" s="5"/>
      <c r="X244" s="5"/>
      <c r="Y244" s="5"/>
      <c r="Z244" s="5"/>
    </row>
    <row r="245" ht="14.25" customHeight="1">
      <c r="T245" s="5"/>
      <c r="U245" s="5"/>
      <c r="V245" s="5"/>
      <c r="W245" s="5"/>
      <c r="X245" s="5"/>
      <c r="Y245" s="5"/>
      <c r="Z245" s="5"/>
    </row>
    <row r="246" ht="14.25" customHeight="1">
      <c r="T246" s="5"/>
      <c r="U246" s="5"/>
      <c r="V246" s="5"/>
      <c r="W246" s="5"/>
      <c r="X246" s="5"/>
      <c r="Y246" s="5"/>
      <c r="Z246" s="5"/>
    </row>
    <row r="247" ht="14.25" customHeight="1">
      <c r="T247" s="5"/>
      <c r="U247" s="5"/>
      <c r="V247" s="5"/>
      <c r="W247" s="5"/>
      <c r="X247" s="5"/>
      <c r="Y247" s="5"/>
      <c r="Z247" s="5"/>
    </row>
    <row r="248" ht="14.25" customHeight="1">
      <c r="T248" s="5"/>
      <c r="U248" s="5"/>
      <c r="V248" s="5"/>
      <c r="W248" s="5"/>
      <c r="X248" s="5"/>
      <c r="Y248" s="5"/>
      <c r="Z248" s="5"/>
    </row>
    <row r="249" ht="14.25" customHeight="1">
      <c r="T249" s="5"/>
      <c r="U249" s="5"/>
      <c r="V249" s="5"/>
      <c r="W249" s="5"/>
      <c r="X249" s="5"/>
      <c r="Y249" s="5"/>
      <c r="Z249" s="5"/>
    </row>
    <row r="250" ht="14.25" customHeight="1">
      <c r="T250" s="5"/>
      <c r="U250" s="5"/>
      <c r="V250" s="5"/>
      <c r="W250" s="5"/>
      <c r="X250" s="5"/>
      <c r="Y250" s="5"/>
      <c r="Z250" s="5"/>
    </row>
    <row r="251" ht="14.25" customHeight="1">
      <c r="T251" s="5"/>
      <c r="U251" s="5"/>
      <c r="V251" s="5"/>
      <c r="W251" s="5"/>
      <c r="X251" s="5"/>
      <c r="Y251" s="5"/>
      <c r="Z251" s="5"/>
    </row>
    <row r="252" ht="14.25" customHeight="1">
      <c r="T252" s="5"/>
      <c r="U252" s="5"/>
      <c r="V252" s="5"/>
      <c r="W252" s="5"/>
      <c r="X252" s="5"/>
      <c r="Y252" s="5"/>
      <c r="Z252" s="5"/>
    </row>
    <row r="253" ht="14.25" customHeight="1">
      <c r="T253" s="5"/>
      <c r="U253" s="5"/>
      <c r="V253" s="5"/>
      <c r="W253" s="5"/>
      <c r="X253" s="5"/>
      <c r="Y253" s="5"/>
      <c r="Z253" s="5"/>
    </row>
    <row r="254" ht="14.25" customHeight="1">
      <c r="T254" s="5"/>
      <c r="U254" s="5"/>
      <c r="V254" s="5"/>
      <c r="W254" s="5"/>
      <c r="X254" s="5"/>
      <c r="Y254" s="5"/>
      <c r="Z254" s="5"/>
    </row>
    <row r="255" ht="14.25" customHeight="1">
      <c r="T255" s="5"/>
      <c r="U255" s="5"/>
      <c r="V255" s="5"/>
      <c r="W255" s="5"/>
      <c r="X255" s="5"/>
      <c r="Y255" s="5"/>
      <c r="Z255" s="5"/>
    </row>
    <row r="256" ht="14.25" customHeight="1">
      <c r="T256" s="5"/>
      <c r="U256" s="5"/>
      <c r="V256" s="5"/>
      <c r="W256" s="5"/>
      <c r="X256" s="5"/>
      <c r="Y256" s="5"/>
      <c r="Z256" s="5"/>
    </row>
    <row r="257" ht="14.25" customHeight="1">
      <c r="T257" s="5"/>
      <c r="U257" s="5"/>
      <c r="V257" s="5"/>
      <c r="W257" s="5"/>
      <c r="X257" s="5"/>
      <c r="Y257" s="5"/>
      <c r="Z257" s="5"/>
    </row>
    <row r="258" ht="14.25" customHeight="1">
      <c r="T258" s="5"/>
      <c r="U258" s="5"/>
      <c r="V258" s="5"/>
      <c r="W258" s="5"/>
      <c r="X258" s="5"/>
      <c r="Y258" s="5"/>
      <c r="Z258" s="5"/>
    </row>
    <row r="259" ht="14.25" customHeight="1">
      <c r="T259" s="5"/>
      <c r="U259" s="5"/>
      <c r="V259" s="5"/>
      <c r="W259" s="5"/>
      <c r="X259" s="5"/>
      <c r="Y259" s="5"/>
      <c r="Z259" s="5"/>
    </row>
    <row r="260" ht="14.25" customHeight="1">
      <c r="T260" s="5"/>
      <c r="U260" s="5"/>
      <c r="V260" s="5"/>
      <c r="W260" s="5"/>
      <c r="X260" s="5"/>
      <c r="Y260" s="5"/>
      <c r="Z260" s="5"/>
    </row>
    <row r="261" ht="14.25" customHeight="1">
      <c r="T261" s="5"/>
      <c r="U261" s="5"/>
      <c r="V261" s="5"/>
      <c r="W261" s="5"/>
      <c r="X261" s="5"/>
      <c r="Y261" s="5"/>
      <c r="Z261" s="5"/>
    </row>
    <row r="262" ht="14.25" customHeight="1">
      <c r="T262" s="5"/>
      <c r="U262" s="5"/>
      <c r="V262" s="5"/>
      <c r="W262" s="5"/>
      <c r="X262" s="5"/>
      <c r="Y262" s="5"/>
      <c r="Z262" s="5"/>
    </row>
    <row r="263" ht="14.25" customHeight="1">
      <c r="T263" s="5"/>
      <c r="U263" s="5"/>
      <c r="V263" s="5"/>
      <c r="W263" s="5"/>
      <c r="X263" s="5"/>
      <c r="Y263" s="5"/>
      <c r="Z263" s="5"/>
    </row>
    <row r="264" ht="14.25" customHeight="1">
      <c r="T264" s="5"/>
      <c r="U264" s="5"/>
      <c r="V264" s="5"/>
      <c r="W264" s="5"/>
      <c r="X264" s="5"/>
      <c r="Y264" s="5"/>
      <c r="Z264" s="5"/>
    </row>
    <row r="265" ht="14.25" customHeight="1">
      <c r="T265" s="5"/>
      <c r="U265" s="5"/>
      <c r="V265" s="5"/>
      <c r="W265" s="5"/>
      <c r="X265" s="5"/>
      <c r="Y265" s="5"/>
      <c r="Z265" s="5"/>
    </row>
    <row r="266" ht="14.25" customHeight="1">
      <c r="T266" s="5"/>
      <c r="U266" s="5"/>
      <c r="V266" s="5"/>
      <c r="W266" s="5"/>
      <c r="X266" s="5"/>
      <c r="Y266" s="5"/>
      <c r="Z266" s="5"/>
    </row>
    <row r="267" ht="14.25" customHeight="1">
      <c r="T267" s="5"/>
      <c r="U267" s="5"/>
      <c r="V267" s="5"/>
      <c r="W267" s="5"/>
      <c r="X267" s="5"/>
      <c r="Y267" s="5"/>
      <c r="Z267" s="5"/>
    </row>
    <row r="268" ht="14.25" customHeight="1">
      <c r="T268" s="5"/>
      <c r="U268" s="5"/>
      <c r="V268" s="5"/>
      <c r="W268" s="5"/>
      <c r="X268" s="5"/>
      <c r="Y268" s="5"/>
      <c r="Z268" s="5"/>
    </row>
    <row r="269" ht="14.25" customHeight="1">
      <c r="T269" s="5"/>
      <c r="U269" s="5"/>
      <c r="V269" s="5"/>
      <c r="W269" s="5"/>
      <c r="X269" s="5"/>
      <c r="Y269" s="5"/>
      <c r="Z269" s="5"/>
    </row>
    <row r="270" ht="14.25" customHeight="1">
      <c r="T270" s="5"/>
      <c r="U270" s="5"/>
      <c r="V270" s="5"/>
      <c r="W270" s="5"/>
      <c r="X270" s="5"/>
      <c r="Y270" s="5"/>
      <c r="Z270" s="5"/>
    </row>
    <row r="271" ht="14.25" customHeight="1">
      <c r="T271" s="5"/>
      <c r="U271" s="5"/>
      <c r="V271" s="5"/>
      <c r="W271" s="5"/>
      <c r="X271" s="5"/>
      <c r="Y271" s="5"/>
      <c r="Z271" s="5"/>
    </row>
    <row r="272" ht="14.25" customHeight="1">
      <c r="T272" s="5"/>
      <c r="U272" s="5"/>
      <c r="V272" s="5"/>
      <c r="W272" s="5"/>
      <c r="X272" s="5"/>
      <c r="Y272" s="5"/>
      <c r="Z272" s="5"/>
    </row>
    <row r="273" ht="14.25" customHeight="1">
      <c r="T273" s="5"/>
      <c r="U273" s="5"/>
      <c r="V273" s="5"/>
      <c r="W273" s="5"/>
      <c r="X273" s="5"/>
      <c r="Y273" s="5"/>
      <c r="Z273" s="5"/>
    </row>
    <row r="274" ht="14.25" customHeight="1">
      <c r="T274" s="5"/>
      <c r="U274" s="5"/>
      <c r="V274" s="5"/>
      <c r="W274" s="5"/>
      <c r="X274" s="5"/>
      <c r="Y274" s="5"/>
      <c r="Z274" s="5"/>
    </row>
    <row r="275" ht="14.25" customHeight="1">
      <c r="T275" s="5"/>
      <c r="U275" s="5"/>
      <c r="V275" s="5"/>
      <c r="W275" s="5"/>
      <c r="X275" s="5"/>
      <c r="Y275" s="5"/>
      <c r="Z275" s="5"/>
    </row>
    <row r="276" ht="14.25" customHeight="1">
      <c r="T276" s="5"/>
      <c r="U276" s="5"/>
      <c r="V276" s="5"/>
      <c r="W276" s="5"/>
      <c r="X276" s="5"/>
      <c r="Y276" s="5"/>
      <c r="Z276" s="5"/>
    </row>
    <row r="277" ht="14.25" customHeight="1">
      <c r="T277" s="5"/>
      <c r="U277" s="5"/>
      <c r="V277" s="5"/>
      <c r="W277" s="5"/>
      <c r="X277" s="5"/>
      <c r="Y277" s="5"/>
      <c r="Z277" s="5"/>
    </row>
    <row r="278" ht="14.25" customHeight="1">
      <c r="T278" s="5"/>
      <c r="U278" s="5"/>
      <c r="V278" s="5"/>
      <c r="W278" s="5"/>
      <c r="X278" s="5"/>
      <c r="Y278" s="5"/>
      <c r="Z278" s="5"/>
    </row>
    <row r="279" ht="14.25" customHeight="1">
      <c r="T279" s="5"/>
      <c r="U279" s="5"/>
      <c r="V279" s="5"/>
      <c r="W279" s="5"/>
      <c r="X279" s="5"/>
      <c r="Y279" s="5"/>
      <c r="Z279" s="5"/>
    </row>
    <row r="280" ht="14.25" customHeight="1">
      <c r="T280" s="5"/>
      <c r="U280" s="5"/>
      <c r="V280" s="5"/>
      <c r="W280" s="5"/>
      <c r="X280" s="5"/>
      <c r="Y280" s="5"/>
      <c r="Z280" s="5"/>
    </row>
    <row r="281" ht="14.25" customHeight="1">
      <c r="T281" s="5"/>
      <c r="U281" s="5"/>
      <c r="V281" s="5"/>
      <c r="W281" s="5"/>
      <c r="X281" s="5"/>
      <c r="Y281" s="5"/>
      <c r="Z281" s="5"/>
    </row>
    <row r="282" ht="14.25" customHeight="1">
      <c r="T282" s="5"/>
      <c r="U282" s="5"/>
      <c r="V282" s="5"/>
      <c r="W282" s="5"/>
      <c r="X282" s="5"/>
      <c r="Y282" s="5"/>
      <c r="Z282" s="5"/>
    </row>
    <row r="283" ht="14.25" customHeight="1">
      <c r="T283" s="5"/>
      <c r="U283" s="5"/>
      <c r="V283" s="5"/>
      <c r="W283" s="5"/>
      <c r="X283" s="5"/>
      <c r="Y283" s="5"/>
      <c r="Z283" s="5"/>
    </row>
    <row r="284" ht="14.25" customHeight="1">
      <c r="T284" s="5"/>
      <c r="U284" s="5"/>
      <c r="V284" s="5"/>
      <c r="W284" s="5"/>
      <c r="X284" s="5"/>
      <c r="Y284" s="5"/>
      <c r="Z284" s="5"/>
    </row>
    <row r="285" ht="14.25" customHeight="1"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.29"/>
    <col customWidth="1" min="3" max="20" width="4.0"/>
    <col customWidth="1" min="21" max="21" width="4.14"/>
    <col customWidth="1" min="22" max="32" width="4.0"/>
  </cols>
  <sheetData>
    <row r="1" ht="14.25" customHeight="1">
      <c r="A1" s="5" t="s">
        <v>1139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5">
        <v>20.0</v>
      </c>
      <c r="V1" s="5">
        <v>21.0</v>
      </c>
      <c r="W1" s="5">
        <v>22.0</v>
      </c>
      <c r="X1" s="5">
        <v>23.0</v>
      </c>
      <c r="Y1" s="5">
        <v>24.0</v>
      </c>
      <c r="Z1" s="5">
        <v>25.0</v>
      </c>
      <c r="AA1" s="5">
        <v>26.0</v>
      </c>
      <c r="AB1" s="5">
        <v>27.0</v>
      </c>
      <c r="AC1" s="5">
        <v>28.0</v>
      </c>
      <c r="AD1" s="5">
        <v>29.0</v>
      </c>
      <c r="AE1" s="5">
        <v>30.0</v>
      </c>
      <c r="AF1" s="5">
        <v>31.0</v>
      </c>
    </row>
    <row r="2" ht="14.25" customHeight="1">
      <c r="A2" s="5">
        <v>1.0</v>
      </c>
      <c r="B2" s="5" t="str">
        <f>TEXT(WEEKDAY(DATE(AñoNatural,$A2,B$1),1),"[$-c0a]ddd")</f>
        <v>vie</v>
      </c>
      <c r="C2" s="5" t="str">
        <f>TEXT(WEEKDAY(DATE(AñoNatural,$A2,C$1),1),"[$-c0a]ddd")</f>
        <v>sáb</v>
      </c>
      <c r="D2" s="5" t="str">
        <f>TEXT(WEEKDAY(DATE(AñoNatural,$A2,D$1),1),"[$-c0a]ddd")</f>
        <v>dom</v>
      </c>
      <c r="E2" s="5" t="str">
        <f>TEXT(WEEKDAY(DATE(AñoNatural,$A2,E$1),1),"[$-c0a]ddd")</f>
        <v>lun</v>
      </c>
      <c r="F2" s="5" t="str">
        <f>TEXT(WEEKDAY(DATE(AñoNatural,$A2,F$1),1),"[$-c0a]ddd")</f>
        <v>mar</v>
      </c>
      <c r="G2" s="5" t="str">
        <f>TEXT(WEEKDAY(DATE(AñoNatural,$A2,G$1),1),"[$-c0a]ddd")</f>
        <v>mié</v>
      </c>
      <c r="H2" s="5" t="str">
        <f>TEXT(WEEKDAY(DATE(AñoNatural,$A2,H$1),1),"[$-c0a]ddd")</f>
        <v>jue</v>
      </c>
      <c r="I2" s="5" t="str">
        <f>TEXT(WEEKDAY(DATE(AñoNatural,$A2,I$1),1),"[$-c0a]ddd")</f>
        <v>vie</v>
      </c>
      <c r="J2" s="5" t="str">
        <f>TEXT(WEEKDAY(DATE(AñoNatural,$A2,J$1),1),"[$-c0a]ddd")</f>
        <v>sáb</v>
      </c>
      <c r="K2" s="5" t="str">
        <f>TEXT(WEEKDAY(DATE(AñoNatural,$A2,K$1),1),"[$-c0a]ddd")</f>
        <v>dom</v>
      </c>
      <c r="L2" s="5" t="str">
        <f>TEXT(WEEKDAY(DATE(AñoNatural,$A2,L$1),1),"[$-c0a]ddd")</f>
        <v>lun</v>
      </c>
      <c r="M2" s="5" t="str">
        <f>TEXT(WEEKDAY(DATE(AñoNatural,$A2,M$1),1),"[$-c0a]ddd")</f>
        <v>mar</v>
      </c>
      <c r="N2" s="5" t="str">
        <f>TEXT(WEEKDAY(DATE(AñoNatural,$A2,N$1),1),"[$-c0a]ddd")</f>
        <v>mié</v>
      </c>
      <c r="O2" s="5" t="str">
        <f>TEXT(WEEKDAY(DATE(AñoNatural,$A2,O$1),1),"[$-c0a]ddd")</f>
        <v>jue</v>
      </c>
      <c r="P2" s="5" t="str">
        <f>TEXT(WEEKDAY(DATE(AñoNatural,$A2,P$1),1),"[$-c0a]ddd")</f>
        <v>vie</v>
      </c>
      <c r="Q2" s="5" t="str">
        <f>TEXT(WEEKDAY(DATE(AñoNatural,$A2,Q$1),1),"[$-c0a]ddd")</f>
        <v>sáb</v>
      </c>
      <c r="R2" s="5" t="str">
        <f>TEXT(WEEKDAY(DATE(AñoNatural,$A2,R$1),1),"[$-c0a]ddd")</f>
        <v>dom</v>
      </c>
      <c r="S2" s="5" t="str">
        <f>TEXT(WEEKDAY(DATE(AñoNatural,$A2,S$1),1),"[$-c0a]ddd")</f>
        <v>lun</v>
      </c>
      <c r="T2" s="5" t="str">
        <f>TEXT(WEEKDAY(DATE(AñoNatural,$A2,T$1),1),"[$-c0a]ddd")</f>
        <v>mar</v>
      </c>
      <c r="U2" s="5" t="str">
        <f>TEXT(WEEKDAY(DATE(AñoNatural,$A2,U$1),1),"[$-c0a]ddd")</f>
        <v>mié</v>
      </c>
      <c r="V2" s="5" t="str">
        <f>TEXT(WEEKDAY(DATE(AñoNatural,$A2,V$1),1),"[$-c0a]ddd")</f>
        <v>jue</v>
      </c>
      <c r="W2" s="5" t="str">
        <f>TEXT(WEEKDAY(DATE(AñoNatural,$A2,W$1),1),"[$-c0a]ddd")</f>
        <v>vie</v>
      </c>
      <c r="X2" s="5" t="str">
        <f>TEXT(WEEKDAY(DATE(AñoNatural,$A2,X$1),1),"[$-c0a]ddd")</f>
        <v>sáb</v>
      </c>
      <c r="Y2" s="5" t="str">
        <f>TEXT(WEEKDAY(DATE(AñoNatural,$A2,Y$1),1),"[$-c0a]ddd")</f>
        <v>dom</v>
      </c>
      <c r="Z2" s="5" t="str">
        <f>TEXT(WEEKDAY(DATE(AñoNatural,$A2,Z$1),1),"[$-c0a]ddd")</f>
        <v>lun</v>
      </c>
      <c r="AA2" s="5" t="str">
        <f>TEXT(WEEKDAY(DATE(AñoNatural,$A2,AA$1),1),"[$-c0a]ddd")</f>
        <v>mar</v>
      </c>
      <c r="AB2" s="5" t="str">
        <f>TEXT(WEEKDAY(DATE(AñoNatural,$A2,AB$1),1),"[$-c0a]ddd")</f>
        <v>mié</v>
      </c>
      <c r="AC2" s="5" t="str">
        <f>TEXT(WEEKDAY(DATE(AñoNatural,$A2,AC$1),1),"[$-c0a]ddd")</f>
        <v>jue</v>
      </c>
      <c r="AD2" s="5" t="str">
        <f>TEXT(WEEKDAY(DATE(AñoNatural,$A2,AD$1),1),"[$-c0a]ddd")</f>
        <v>vie</v>
      </c>
      <c r="AE2" s="5" t="str">
        <f>TEXT(WEEKDAY(DATE(AñoNatural,$A2,AE$1),1),"[$-c0a]ddd")</f>
        <v>sáb</v>
      </c>
      <c r="AF2" s="5" t="str">
        <f>TEXT(WEEKDAY(DATE(AñoNatural,$A2,AF$1),1),"[$-c0a]ddd")</f>
        <v>dom</v>
      </c>
    </row>
    <row r="3" ht="14.25" customHeight="1">
      <c r="A3" s="5">
        <v>2.0</v>
      </c>
      <c r="B3" s="5" t="str">
        <f>TEXT(WEEKDAY(DATE(AñoNatural,$A3,B$1),1),"[$-c0a]ddd")</f>
        <v>lun</v>
      </c>
      <c r="C3" s="5" t="str">
        <f>TEXT(WEEKDAY(DATE(AñoNatural,$A3,C$1),1),"[$-c0a]ddd")</f>
        <v>mar</v>
      </c>
      <c r="D3" s="5" t="str">
        <f>TEXT(WEEKDAY(DATE(AñoNatural,$A3,D$1),1),"[$-c0a]ddd")</f>
        <v>mié</v>
      </c>
      <c r="E3" s="5" t="str">
        <f>TEXT(WEEKDAY(DATE(AñoNatural,$A3,E$1),1),"[$-c0a]ddd")</f>
        <v>jue</v>
      </c>
      <c r="F3" s="5" t="str">
        <f>TEXT(WEEKDAY(DATE(AñoNatural,$A3,F$1),1),"[$-c0a]ddd")</f>
        <v>vie</v>
      </c>
      <c r="G3" s="5" t="str">
        <f>TEXT(WEEKDAY(DATE(AñoNatural,$A3,G$1),1),"[$-c0a]ddd")</f>
        <v>sáb</v>
      </c>
      <c r="H3" s="5" t="str">
        <f>TEXT(WEEKDAY(DATE(AñoNatural,$A3,H$1),1),"[$-c0a]ddd")</f>
        <v>dom</v>
      </c>
      <c r="I3" s="5" t="str">
        <f>TEXT(WEEKDAY(DATE(AñoNatural,$A3,I$1),1),"[$-c0a]ddd")</f>
        <v>lun</v>
      </c>
      <c r="J3" s="5" t="str">
        <f>TEXT(WEEKDAY(DATE(AñoNatural,$A3,J$1),1),"[$-c0a]ddd")</f>
        <v>mar</v>
      </c>
      <c r="K3" s="5" t="str">
        <f>TEXT(WEEKDAY(DATE(AñoNatural,$A3,K$1),1),"[$-c0a]ddd")</f>
        <v>mié</v>
      </c>
      <c r="L3" s="5" t="str">
        <f>TEXT(WEEKDAY(DATE(AñoNatural,$A3,L$1),1),"[$-c0a]ddd")</f>
        <v>jue</v>
      </c>
      <c r="M3" s="5" t="str">
        <f>TEXT(WEEKDAY(DATE(AñoNatural,$A3,M$1),1),"[$-c0a]ddd")</f>
        <v>vie</v>
      </c>
      <c r="N3" s="5" t="str">
        <f>TEXT(WEEKDAY(DATE(AñoNatural,$A3,N$1),1),"[$-c0a]ddd")</f>
        <v>sáb</v>
      </c>
      <c r="O3" s="5" t="str">
        <f>TEXT(WEEKDAY(DATE(AñoNatural,$A3,O$1),1),"[$-c0a]ddd")</f>
        <v>dom</v>
      </c>
      <c r="P3" s="5" t="str">
        <f>TEXT(WEEKDAY(DATE(AñoNatural,$A3,P$1),1),"[$-c0a]ddd")</f>
        <v>lun</v>
      </c>
      <c r="Q3" s="5" t="str">
        <f>TEXT(WEEKDAY(DATE(AñoNatural,$A3,Q$1),1),"[$-c0a]ddd")</f>
        <v>mar</v>
      </c>
      <c r="R3" s="5" t="str">
        <f>TEXT(WEEKDAY(DATE(AñoNatural,$A3,R$1),1),"[$-c0a]ddd")</f>
        <v>mié</v>
      </c>
      <c r="S3" s="5" t="str">
        <f>TEXT(WEEKDAY(DATE(AñoNatural,$A3,S$1),1),"[$-c0a]ddd")</f>
        <v>jue</v>
      </c>
      <c r="T3" s="5" t="str">
        <f>TEXT(WEEKDAY(DATE(AñoNatural,$A3,T$1),1),"[$-c0a]ddd")</f>
        <v>vie</v>
      </c>
      <c r="U3" s="5" t="str">
        <f>TEXT(WEEKDAY(DATE(AñoNatural,$A3,U$1),1),"[$-c0a]ddd")</f>
        <v>sáb</v>
      </c>
      <c r="V3" s="5" t="str">
        <f>TEXT(WEEKDAY(DATE(AñoNatural,$A3,V$1),1),"[$-c0a]ddd")</f>
        <v>dom</v>
      </c>
      <c r="W3" s="5" t="str">
        <f>TEXT(WEEKDAY(DATE(AñoNatural,$A3,W$1),1),"[$-c0a]ddd")</f>
        <v>lun</v>
      </c>
      <c r="X3" s="5" t="str">
        <f>TEXT(WEEKDAY(DATE(AñoNatural,$A3,X$1),1),"[$-c0a]ddd")</f>
        <v>mar</v>
      </c>
      <c r="Y3" s="5" t="str">
        <f>TEXT(WEEKDAY(DATE(AñoNatural,$A3,Y$1),1),"[$-c0a]ddd")</f>
        <v>mié</v>
      </c>
      <c r="Z3" s="5" t="str">
        <f>TEXT(WEEKDAY(DATE(AñoNatural,$A3,Z$1),1),"[$-c0a]ddd")</f>
        <v>jue</v>
      </c>
      <c r="AA3" s="5" t="str">
        <f>TEXT(WEEKDAY(DATE(AñoNatural,$A3,AA$1),1),"[$-c0a]ddd")</f>
        <v>vie</v>
      </c>
      <c r="AB3" s="5" t="str">
        <f>TEXT(WEEKDAY(DATE(AñoNatural,$A3,AB$1),1),"[$-c0a]ddd")</f>
        <v>sáb</v>
      </c>
      <c r="AC3" s="5" t="str">
        <f>TEXT(WEEKDAY(DATE(AñoNatural,$A3,AC$1),1),"[$-c0a]ddd")</f>
        <v>dom</v>
      </c>
      <c r="AD3" s="5" t="str">
        <f>TEXT(WEEKDAY(DATE(AñoNatural,$A3,AD$1),1),"[$-c0a]ddd")</f>
        <v>lun</v>
      </c>
      <c r="AE3" s="216"/>
      <c r="AF3" s="216"/>
    </row>
    <row r="4" ht="14.25" customHeight="1">
      <c r="A4" s="5">
        <v>3.0</v>
      </c>
      <c r="B4" s="5" t="str">
        <f>TEXT(WEEKDAY(DATE(AñoNatural,$A4,B$1),1),"[$-c0a]ddd")</f>
        <v>lun</v>
      </c>
      <c r="C4" s="5" t="str">
        <f>TEXT(WEEKDAY(DATE(AñoNatural,$A4,C$1),1),"[$-c0a]ddd")</f>
        <v>mar</v>
      </c>
      <c r="D4" s="5" t="str">
        <f>TEXT(WEEKDAY(DATE(AñoNatural,$A4,D$1),1),"[$-c0a]ddd")</f>
        <v>mié</v>
      </c>
      <c r="E4" s="5" t="str">
        <f>TEXT(WEEKDAY(DATE(AñoNatural,$A4,E$1),1),"[$-c0a]ddd")</f>
        <v>jue</v>
      </c>
      <c r="F4" s="5" t="str">
        <f>TEXT(WEEKDAY(DATE(AñoNatural,$A4,F$1),1),"[$-c0a]ddd")</f>
        <v>vie</v>
      </c>
      <c r="G4" s="5" t="str">
        <f>TEXT(WEEKDAY(DATE(AñoNatural,$A4,G$1),1),"[$-c0a]ddd")</f>
        <v>sáb</v>
      </c>
      <c r="H4" s="5" t="str">
        <f>TEXT(WEEKDAY(DATE(AñoNatural,$A4,H$1),1),"[$-c0a]ddd")</f>
        <v>dom</v>
      </c>
      <c r="I4" s="5" t="str">
        <f>TEXT(WEEKDAY(DATE(AñoNatural,$A4,I$1),1),"[$-c0a]ddd")</f>
        <v>lun</v>
      </c>
      <c r="J4" s="5" t="str">
        <f>TEXT(WEEKDAY(DATE(AñoNatural,$A4,J$1),1),"[$-c0a]ddd")</f>
        <v>mar</v>
      </c>
      <c r="K4" s="5" t="str">
        <f>TEXT(WEEKDAY(DATE(AñoNatural,$A4,K$1),1),"[$-c0a]ddd")</f>
        <v>mié</v>
      </c>
      <c r="L4" s="5" t="str">
        <f>TEXT(WEEKDAY(DATE(AñoNatural,$A4,L$1),1),"[$-c0a]ddd")</f>
        <v>jue</v>
      </c>
      <c r="M4" s="5" t="str">
        <f>TEXT(WEEKDAY(DATE(AñoNatural,$A4,M$1),1),"[$-c0a]ddd")</f>
        <v>vie</v>
      </c>
      <c r="N4" s="5" t="str">
        <f>TEXT(WEEKDAY(DATE(AñoNatural,$A4,N$1),1),"[$-c0a]ddd")</f>
        <v>sáb</v>
      </c>
      <c r="O4" s="5" t="str">
        <f>TEXT(WEEKDAY(DATE(AñoNatural,$A4,O$1),1),"[$-c0a]ddd")</f>
        <v>dom</v>
      </c>
      <c r="P4" s="5" t="str">
        <f>TEXT(WEEKDAY(DATE(AñoNatural,$A4,P$1),1),"[$-c0a]ddd")</f>
        <v>lun</v>
      </c>
      <c r="Q4" s="5" t="str">
        <f>TEXT(WEEKDAY(DATE(AñoNatural,$A4,Q$1),1),"[$-c0a]ddd")</f>
        <v>mar</v>
      </c>
      <c r="R4" s="5" t="str">
        <f>TEXT(WEEKDAY(DATE(AñoNatural,$A4,R$1),1),"[$-c0a]ddd")</f>
        <v>mié</v>
      </c>
      <c r="S4" s="5" t="str">
        <f>TEXT(WEEKDAY(DATE(AñoNatural,$A4,S$1),1),"[$-c0a]ddd")</f>
        <v>jue</v>
      </c>
      <c r="T4" s="5" t="str">
        <f>TEXT(WEEKDAY(DATE(AñoNatural,$A4,T$1),1),"[$-c0a]ddd")</f>
        <v>vie</v>
      </c>
      <c r="U4" s="5" t="str">
        <f>TEXT(WEEKDAY(DATE(AñoNatural,$A4,U$1),1),"[$-c0a]ddd")</f>
        <v>sáb</v>
      </c>
      <c r="V4" s="5" t="str">
        <f>TEXT(WEEKDAY(DATE(AñoNatural,$A4,V$1),1),"[$-c0a]ddd")</f>
        <v>dom</v>
      </c>
      <c r="W4" s="5" t="str">
        <f>TEXT(WEEKDAY(DATE(AñoNatural,$A4,W$1),1),"[$-c0a]ddd")</f>
        <v>lun</v>
      </c>
      <c r="X4" s="5" t="str">
        <f>TEXT(WEEKDAY(DATE(AñoNatural,$A4,X$1),1),"[$-c0a]ddd")</f>
        <v>mar</v>
      </c>
      <c r="Y4" s="5" t="str">
        <f>TEXT(WEEKDAY(DATE(AñoNatural,$A4,Y$1),1),"[$-c0a]ddd")</f>
        <v>mié</v>
      </c>
      <c r="Z4" s="5" t="str">
        <f>TEXT(WEEKDAY(DATE(AñoNatural,$A4,Z$1),1),"[$-c0a]ddd")</f>
        <v>jue</v>
      </c>
      <c r="AA4" s="5" t="str">
        <f>TEXT(WEEKDAY(DATE(AñoNatural,$A4,AA$1),1),"[$-c0a]ddd")</f>
        <v>vie</v>
      </c>
      <c r="AB4" s="5" t="str">
        <f>TEXT(WEEKDAY(DATE(AñoNatural,$A4,AB$1),1),"[$-c0a]ddd")</f>
        <v>sáb</v>
      </c>
      <c r="AC4" s="5" t="str">
        <f>TEXT(WEEKDAY(DATE(AñoNatural,$A4,AC$1),1),"[$-c0a]ddd")</f>
        <v>dom</v>
      </c>
      <c r="AD4" s="5" t="str">
        <f>TEXT(WEEKDAY(DATE(AñoNatural,$A4,AD$1),1),"[$-c0a]ddd")</f>
        <v>lun</v>
      </c>
      <c r="AE4" s="5" t="str">
        <f>TEXT(WEEKDAY(DATE(AñoNatural,$A4,AE$1),1),"[$-c0a]ddd")</f>
        <v>mar</v>
      </c>
      <c r="AF4" s="5" t="str">
        <f>TEXT(WEEKDAY(DATE(AñoNatural,$A4,AF$1),1),"[$-c0a]ddd")</f>
        <v>mié</v>
      </c>
    </row>
    <row r="5" ht="14.25" customHeight="1">
      <c r="A5" s="5">
        <v>4.0</v>
      </c>
      <c r="B5" s="5" t="str">
        <f>TEXT(WEEKDAY(DATE(AñoNatural,$A5,B$1),1),"[$-c0a]ddd")</f>
        <v>jue</v>
      </c>
      <c r="C5" s="5" t="str">
        <f>TEXT(WEEKDAY(DATE(AñoNatural,$A5,C$1),1),"[$-c0a]ddd")</f>
        <v>vie</v>
      </c>
      <c r="D5" s="5" t="str">
        <f>TEXT(WEEKDAY(DATE(AñoNatural,$A5,D$1),1),"[$-c0a]ddd")</f>
        <v>sáb</v>
      </c>
      <c r="E5" s="5" t="str">
        <f>TEXT(WEEKDAY(DATE(AñoNatural,$A5,E$1),1),"[$-c0a]ddd")</f>
        <v>dom</v>
      </c>
      <c r="F5" s="5" t="str">
        <f>TEXT(WEEKDAY(DATE(AñoNatural,$A5,F$1),1),"[$-c0a]ddd")</f>
        <v>lun</v>
      </c>
      <c r="G5" s="5" t="str">
        <f>TEXT(WEEKDAY(DATE(AñoNatural,$A5,G$1),1),"[$-c0a]ddd")</f>
        <v>mar</v>
      </c>
      <c r="H5" s="5" t="str">
        <f>TEXT(WEEKDAY(DATE(AñoNatural,$A5,H$1),1),"[$-c0a]ddd")</f>
        <v>mié</v>
      </c>
      <c r="I5" s="5" t="str">
        <f>TEXT(WEEKDAY(DATE(AñoNatural,$A5,I$1),1),"[$-c0a]ddd")</f>
        <v>jue</v>
      </c>
      <c r="J5" s="5" t="str">
        <f>TEXT(WEEKDAY(DATE(AñoNatural,$A5,J$1),1),"[$-c0a]ddd")</f>
        <v>vie</v>
      </c>
      <c r="K5" s="5" t="str">
        <f>TEXT(WEEKDAY(DATE(AñoNatural,$A5,K$1),1),"[$-c0a]ddd")</f>
        <v>sáb</v>
      </c>
      <c r="L5" s="5" t="str">
        <f>TEXT(WEEKDAY(DATE(AñoNatural,$A5,L$1),1),"[$-c0a]ddd")</f>
        <v>dom</v>
      </c>
      <c r="M5" s="5" t="str">
        <f>TEXT(WEEKDAY(DATE(AñoNatural,$A5,M$1),1),"[$-c0a]ddd")</f>
        <v>lun</v>
      </c>
      <c r="N5" s="5" t="str">
        <f>TEXT(WEEKDAY(DATE(AñoNatural,$A5,N$1),1),"[$-c0a]ddd")</f>
        <v>mar</v>
      </c>
      <c r="O5" s="5" t="str">
        <f>TEXT(WEEKDAY(DATE(AñoNatural,$A5,O$1),1),"[$-c0a]ddd")</f>
        <v>mié</v>
      </c>
      <c r="P5" s="5" t="str">
        <f>TEXT(WEEKDAY(DATE(AñoNatural,$A5,P$1),1),"[$-c0a]ddd")</f>
        <v>jue</v>
      </c>
      <c r="Q5" s="5" t="str">
        <f>TEXT(WEEKDAY(DATE(AñoNatural,$A5,Q$1),1),"[$-c0a]ddd")</f>
        <v>vie</v>
      </c>
      <c r="R5" s="5" t="str">
        <f>TEXT(WEEKDAY(DATE(AñoNatural,$A5,R$1),1),"[$-c0a]ddd")</f>
        <v>sáb</v>
      </c>
      <c r="S5" s="5" t="str">
        <f>TEXT(WEEKDAY(DATE(AñoNatural,$A5,S$1),1),"[$-c0a]ddd")</f>
        <v>dom</v>
      </c>
      <c r="T5" s="5" t="str">
        <f>TEXT(WEEKDAY(DATE(AñoNatural,$A5,T$1),1),"[$-c0a]ddd")</f>
        <v>lun</v>
      </c>
      <c r="U5" s="5" t="str">
        <f>TEXT(WEEKDAY(DATE(AñoNatural,$A5,U$1),1),"[$-c0a]ddd")</f>
        <v>mar</v>
      </c>
      <c r="V5" s="5" t="str">
        <f>TEXT(WEEKDAY(DATE(AñoNatural,$A5,V$1),1),"[$-c0a]ddd")</f>
        <v>mié</v>
      </c>
      <c r="W5" s="5" t="str">
        <f>TEXT(WEEKDAY(DATE(AñoNatural,$A5,W$1),1),"[$-c0a]ddd")</f>
        <v>jue</v>
      </c>
      <c r="X5" s="5" t="str">
        <f>TEXT(WEEKDAY(DATE(AñoNatural,$A5,X$1),1),"[$-c0a]ddd")</f>
        <v>vie</v>
      </c>
      <c r="Y5" s="5" t="str">
        <f>TEXT(WEEKDAY(DATE(AñoNatural,$A5,Y$1),1),"[$-c0a]ddd")</f>
        <v>sáb</v>
      </c>
      <c r="Z5" s="5" t="str">
        <f>TEXT(WEEKDAY(DATE(AñoNatural,$A5,Z$1),1),"[$-c0a]ddd")</f>
        <v>dom</v>
      </c>
      <c r="AA5" s="5" t="str">
        <f>TEXT(WEEKDAY(DATE(AñoNatural,$A5,AA$1),1),"[$-c0a]ddd")</f>
        <v>lun</v>
      </c>
      <c r="AB5" s="5" t="str">
        <f>TEXT(WEEKDAY(DATE(AñoNatural,$A5,AB$1),1),"[$-c0a]ddd")</f>
        <v>mar</v>
      </c>
      <c r="AC5" s="5" t="str">
        <f>TEXT(WEEKDAY(DATE(AñoNatural,$A5,AC$1),1),"[$-c0a]ddd")</f>
        <v>mié</v>
      </c>
      <c r="AD5" s="5" t="str">
        <f>TEXT(WEEKDAY(DATE(AñoNatural,$A5,AD$1),1),"[$-c0a]ddd")</f>
        <v>jue</v>
      </c>
      <c r="AE5" s="5" t="str">
        <f>TEXT(WEEKDAY(DATE(AñoNatural,$A5,AE$1),1),"[$-c0a]ddd")</f>
        <v>vie</v>
      </c>
      <c r="AF5" s="216"/>
    </row>
    <row r="6" ht="14.25" customHeight="1">
      <c r="A6" s="5">
        <v>5.0</v>
      </c>
      <c r="B6" s="5" t="str">
        <f>TEXT(WEEKDAY(DATE(AñoNatural,$A6,B$1),1),"[$-c0a]ddd")</f>
        <v>sáb</v>
      </c>
      <c r="C6" s="5" t="str">
        <f>TEXT(WEEKDAY(DATE(AñoNatural,$A6,C$1),1),"[$-c0a]ddd")</f>
        <v>dom</v>
      </c>
      <c r="D6" s="5" t="str">
        <f>TEXT(WEEKDAY(DATE(AñoNatural,$A6,D$1),1),"[$-c0a]ddd")</f>
        <v>lun</v>
      </c>
      <c r="E6" s="5" t="str">
        <f>TEXT(WEEKDAY(DATE(AñoNatural,$A6,E$1),1),"[$-c0a]ddd")</f>
        <v>mar</v>
      </c>
      <c r="F6" s="5" t="str">
        <f>TEXT(WEEKDAY(DATE(AñoNatural,$A6,F$1),1),"[$-c0a]ddd")</f>
        <v>mié</v>
      </c>
      <c r="G6" s="5" t="str">
        <f>TEXT(WEEKDAY(DATE(AñoNatural,$A6,G$1),1),"[$-c0a]ddd")</f>
        <v>jue</v>
      </c>
      <c r="H6" s="5" t="str">
        <f>TEXT(WEEKDAY(DATE(AñoNatural,$A6,H$1),1),"[$-c0a]ddd")</f>
        <v>vie</v>
      </c>
      <c r="I6" s="5" t="str">
        <f>TEXT(WEEKDAY(DATE(AñoNatural,$A6,I$1),1),"[$-c0a]ddd")</f>
        <v>sáb</v>
      </c>
      <c r="J6" s="5" t="str">
        <f>TEXT(WEEKDAY(DATE(AñoNatural,$A6,J$1),1),"[$-c0a]ddd")</f>
        <v>dom</v>
      </c>
      <c r="K6" s="5" t="str">
        <f>TEXT(WEEKDAY(DATE(AñoNatural,$A6,K$1),1),"[$-c0a]ddd")</f>
        <v>lun</v>
      </c>
      <c r="L6" s="5" t="str">
        <f>TEXT(WEEKDAY(DATE(AñoNatural,$A6,L$1),1),"[$-c0a]ddd")</f>
        <v>mar</v>
      </c>
      <c r="M6" s="5" t="str">
        <f>TEXT(WEEKDAY(DATE(AñoNatural,$A6,M$1),1),"[$-c0a]ddd")</f>
        <v>mié</v>
      </c>
      <c r="N6" s="5" t="str">
        <f>TEXT(WEEKDAY(DATE(AñoNatural,$A6,N$1),1),"[$-c0a]ddd")</f>
        <v>jue</v>
      </c>
      <c r="O6" s="5" t="str">
        <f>TEXT(WEEKDAY(DATE(AñoNatural,$A6,O$1),1),"[$-c0a]ddd")</f>
        <v>vie</v>
      </c>
      <c r="P6" s="5" t="str">
        <f>TEXT(WEEKDAY(DATE(AñoNatural,$A6,P$1),1),"[$-c0a]ddd")</f>
        <v>sáb</v>
      </c>
      <c r="Q6" s="5" t="str">
        <f>TEXT(WEEKDAY(DATE(AñoNatural,$A6,Q$1),1),"[$-c0a]ddd")</f>
        <v>dom</v>
      </c>
      <c r="R6" s="5" t="str">
        <f>TEXT(WEEKDAY(DATE(AñoNatural,$A6,R$1),1),"[$-c0a]ddd")</f>
        <v>lun</v>
      </c>
      <c r="S6" s="5" t="str">
        <f>TEXT(WEEKDAY(DATE(AñoNatural,$A6,S$1),1),"[$-c0a]ddd")</f>
        <v>mar</v>
      </c>
      <c r="T6" s="5" t="str">
        <f>TEXT(WEEKDAY(DATE(AñoNatural,$A6,T$1),1),"[$-c0a]ddd")</f>
        <v>mié</v>
      </c>
      <c r="U6" s="5" t="str">
        <f>TEXT(WEEKDAY(DATE(AñoNatural,$A6,U$1),1),"[$-c0a]ddd")</f>
        <v>jue</v>
      </c>
      <c r="V6" s="5" t="str">
        <f>TEXT(WEEKDAY(DATE(AñoNatural,$A6,V$1),1),"[$-c0a]ddd")</f>
        <v>vie</v>
      </c>
      <c r="W6" s="5" t="str">
        <f>TEXT(WEEKDAY(DATE(AñoNatural,$A6,W$1),1),"[$-c0a]ddd")</f>
        <v>sáb</v>
      </c>
      <c r="X6" s="5" t="str">
        <f>TEXT(WEEKDAY(DATE(AñoNatural,$A6,X$1),1),"[$-c0a]ddd")</f>
        <v>dom</v>
      </c>
      <c r="Y6" s="5" t="str">
        <f>TEXT(WEEKDAY(DATE(AñoNatural,$A6,Y$1),1),"[$-c0a]ddd")</f>
        <v>lun</v>
      </c>
      <c r="Z6" s="5" t="str">
        <f>TEXT(WEEKDAY(DATE(AñoNatural,$A6,Z$1),1),"[$-c0a]ddd")</f>
        <v>mar</v>
      </c>
      <c r="AA6" s="5" t="str">
        <f>TEXT(WEEKDAY(DATE(AñoNatural,$A6,AA$1),1),"[$-c0a]ddd")</f>
        <v>mié</v>
      </c>
      <c r="AB6" s="5" t="str">
        <f>TEXT(WEEKDAY(DATE(AñoNatural,$A6,AB$1),1),"[$-c0a]ddd")</f>
        <v>jue</v>
      </c>
      <c r="AC6" s="5" t="str">
        <f>TEXT(WEEKDAY(DATE(AñoNatural,$A6,AC$1),1),"[$-c0a]ddd")</f>
        <v>vie</v>
      </c>
      <c r="AD6" s="5" t="str">
        <f>TEXT(WEEKDAY(DATE(AñoNatural,$A6,AD$1),1),"[$-c0a]ddd")</f>
        <v>sáb</v>
      </c>
      <c r="AE6" s="5" t="str">
        <f>TEXT(WEEKDAY(DATE(AñoNatural,$A6,AE$1),1),"[$-c0a]ddd")</f>
        <v>dom</v>
      </c>
      <c r="AF6" s="5" t="str">
        <f>TEXT(WEEKDAY(DATE(AñoNatural,$A6,AF$1),1),"[$-c0a]ddd")</f>
        <v>lun</v>
      </c>
    </row>
    <row r="7" ht="14.25" customHeight="1">
      <c r="A7" s="5">
        <v>6.0</v>
      </c>
      <c r="B7" s="5" t="str">
        <f>TEXT(WEEKDAY(DATE(AñoNatural,$A7,B$1),1),"[$-c0a]ddd")</f>
        <v>mar</v>
      </c>
      <c r="C7" s="5" t="str">
        <f>TEXT(WEEKDAY(DATE(AñoNatural,$A7,C$1),1),"[$-c0a]ddd")</f>
        <v>mié</v>
      </c>
      <c r="D7" s="5" t="str">
        <f>TEXT(WEEKDAY(DATE(AñoNatural,$A7,D$1),1),"[$-c0a]ddd")</f>
        <v>jue</v>
      </c>
      <c r="E7" s="5" t="str">
        <f>TEXT(WEEKDAY(DATE(AñoNatural,$A7,E$1),1),"[$-c0a]ddd")</f>
        <v>vie</v>
      </c>
      <c r="F7" s="5" t="str">
        <f>TEXT(WEEKDAY(DATE(AñoNatural,$A7,F$1),1),"[$-c0a]ddd")</f>
        <v>sáb</v>
      </c>
      <c r="G7" s="5" t="str">
        <f>TEXT(WEEKDAY(DATE(AñoNatural,$A7,G$1),1),"[$-c0a]ddd")</f>
        <v>dom</v>
      </c>
      <c r="H7" s="5" t="str">
        <f>TEXT(WEEKDAY(DATE(AñoNatural,$A7,H$1),1),"[$-c0a]ddd")</f>
        <v>lun</v>
      </c>
      <c r="I7" s="5" t="str">
        <f>TEXT(WEEKDAY(DATE(AñoNatural,$A7,I$1),1),"[$-c0a]ddd")</f>
        <v>mar</v>
      </c>
      <c r="J7" s="5" t="str">
        <f>TEXT(WEEKDAY(DATE(AñoNatural,$A7,J$1),1),"[$-c0a]ddd")</f>
        <v>mié</v>
      </c>
      <c r="K7" s="5" t="str">
        <f>TEXT(WEEKDAY(DATE(AñoNatural,$A7,K$1),1),"[$-c0a]ddd")</f>
        <v>jue</v>
      </c>
      <c r="L7" s="5" t="str">
        <f>TEXT(WEEKDAY(DATE(AñoNatural,$A7,L$1),1),"[$-c0a]ddd")</f>
        <v>vie</v>
      </c>
      <c r="M7" s="5" t="str">
        <f>TEXT(WEEKDAY(DATE(AñoNatural,$A7,M$1),1),"[$-c0a]ddd")</f>
        <v>sáb</v>
      </c>
      <c r="N7" s="5" t="str">
        <f>TEXT(WEEKDAY(DATE(AñoNatural,$A7,N$1),1),"[$-c0a]ddd")</f>
        <v>dom</v>
      </c>
      <c r="O7" s="5" t="str">
        <f>TEXT(WEEKDAY(DATE(AñoNatural,$A7,O$1),1),"[$-c0a]ddd")</f>
        <v>lun</v>
      </c>
      <c r="P7" s="5" t="str">
        <f>TEXT(WEEKDAY(DATE(AñoNatural,$A7,P$1),1),"[$-c0a]ddd")</f>
        <v>mar</v>
      </c>
      <c r="Q7" s="5" t="str">
        <f>TEXT(WEEKDAY(DATE(AñoNatural,$A7,Q$1),1),"[$-c0a]ddd")</f>
        <v>mié</v>
      </c>
      <c r="R7" s="5" t="str">
        <f>TEXT(WEEKDAY(DATE(AñoNatural,$A7,R$1),1),"[$-c0a]ddd")</f>
        <v>jue</v>
      </c>
      <c r="S7" s="5" t="str">
        <f>TEXT(WEEKDAY(DATE(AñoNatural,$A7,S$1),1),"[$-c0a]ddd")</f>
        <v>vie</v>
      </c>
      <c r="T7" s="5" t="str">
        <f>TEXT(WEEKDAY(DATE(AñoNatural,$A7,T$1),1),"[$-c0a]ddd")</f>
        <v>sáb</v>
      </c>
      <c r="U7" s="5" t="str">
        <f>TEXT(WEEKDAY(DATE(AñoNatural,$A7,U$1),1),"[$-c0a]ddd")</f>
        <v>dom</v>
      </c>
      <c r="V7" s="5" t="str">
        <f>TEXT(WEEKDAY(DATE(AñoNatural,$A7,V$1),1),"[$-c0a]ddd")</f>
        <v>lun</v>
      </c>
      <c r="W7" s="5" t="str">
        <f>TEXT(WEEKDAY(DATE(AñoNatural,$A7,W$1),1),"[$-c0a]ddd")</f>
        <v>mar</v>
      </c>
      <c r="X7" s="5" t="str">
        <f>TEXT(WEEKDAY(DATE(AñoNatural,$A7,X$1),1),"[$-c0a]ddd")</f>
        <v>mié</v>
      </c>
      <c r="Y7" s="5" t="str">
        <f>TEXT(WEEKDAY(DATE(AñoNatural,$A7,Y$1),1),"[$-c0a]ddd")</f>
        <v>jue</v>
      </c>
      <c r="Z7" s="5" t="str">
        <f>TEXT(WEEKDAY(DATE(AñoNatural,$A7,Z$1),1),"[$-c0a]ddd")</f>
        <v>vie</v>
      </c>
      <c r="AA7" s="5" t="str">
        <f>TEXT(WEEKDAY(DATE(AñoNatural,$A7,AA$1),1),"[$-c0a]ddd")</f>
        <v>sáb</v>
      </c>
      <c r="AB7" s="5" t="str">
        <f>TEXT(WEEKDAY(DATE(AñoNatural,$A7,AB$1),1),"[$-c0a]ddd")</f>
        <v>dom</v>
      </c>
      <c r="AC7" s="5" t="str">
        <f>TEXT(WEEKDAY(DATE(AñoNatural,$A7,AC$1),1),"[$-c0a]ddd")</f>
        <v>lun</v>
      </c>
      <c r="AD7" s="5" t="str">
        <f>TEXT(WEEKDAY(DATE(AñoNatural,$A7,AD$1),1),"[$-c0a]ddd")</f>
        <v>mar</v>
      </c>
      <c r="AE7" s="5" t="str">
        <f>TEXT(WEEKDAY(DATE(AñoNatural,$A7,AE$1),1),"[$-c0a]ddd")</f>
        <v>mié</v>
      </c>
      <c r="AF7" s="216"/>
    </row>
    <row r="8" ht="14.25" customHeight="1">
      <c r="A8" s="5">
        <v>7.0</v>
      </c>
      <c r="B8" s="5" t="str">
        <f>TEXT(WEEKDAY(DATE(AñoNatural,$A8,B$1),1),"[$-c0a]ddd")</f>
        <v>jue</v>
      </c>
      <c r="C8" s="5" t="str">
        <f>TEXT(WEEKDAY(DATE(AñoNatural,$A8,C$1),1),"[$-c0a]ddd")</f>
        <v>vie</v>
      </c>
      <c r="D8" s="5" t="str">
        <f>TEXT(WEEKDAY(DATE(AñoNatural,$A8,D$1),1),"[$-c0a]ddd")</f>
        <v>sáb</v>
      </c>
      <c r="E8" s="5" t="str">
        <f>TEXT(WEEKDAY(DATE(AñoNatural,$A8,E$1),1),"[$-c0a]ddd")</f>
        <v>dom</v>
      </c>
      <c r="F8" s="5" t="str">
        <f>TEXT(WEEKDAY(DATE(AñoNatural,$A8,F$1),1),"[$-c0a]ddd")</f>
        <v>lun</v>
      </c>
      <c r="G8" s="5" t="str">
        <f>TEXT(WEEKDAY(DATE(AñoNatural,$A8,G$1),1),"[$-c0a]ddd")</f>
        <v>mar</v>
      </c>
      <c r="H8" s="5" t="str">
        <f>TEXT(WEEKDAY(DATE(AñoNatural,$A8,H$1),1),"[$-c0a]ddd")</f>
        <v>mié</v>
      </c>
      <c r="I8" s="5" t="str">
        <f>TEXT(WEEKDAY(DATE(AñoNatural,$A8,I$1),1),"[$-c0a]ddd")</f>
        <v>jue</v>
      </c>
      <c r="J8" s="5" t="str">
        <f>TEXT(WEEKDAY(DATE(AñoNatural,$A8,J$1),1),"[$-c0a]ddd")</f>
        <v>vie</v>
      </c>
      <c r="K8" s="5" t="str">
        <f>TEXT(WEEKDAY(DATE(AñoNatural,$A8,K$1),1),"[$-c0a]ddd")</f>
        <v>sáb</v>
      </c>
      <c r="L8" s="5" t="str">
        <f>TEXT(WEEKDAY(DATE(AñoNatural,$A8,L$1),1),"[$-c0a]ddd")</f>
        <v>dom</v>
      </c>
      <c r="M8" s="5" t="str">
        <f>TEXT(WEEKDAY(DATE(AñoNatural,$A8,M$1),1),"[$-c0a]ddd")</f>
        <v>lun</v>
      </c>
      <c r="N8" s="5" t="str">
        <f>TEXT(WEEKDAY(DATE(AñoNatural,$A8,N$1),1),"[$-c0a]ddd")</f>
        <v>mar</v>
      </c>
      <c r="O8" s="5" t="str">
        <f>TEXT(WEEKDAY(DATE(AñoNatural,$A8,O$1),1),"[$-c0a]ddd")</f>
        <v>mié</v>
      </c>
      <c r="P8" s="5" t="str">
        <f>TEXT(WEEKDAY(DATE(AñoNatural,$A8,P$1),1),"[$-c0a]ddd")</f>
        <v>jue</v>
      </c>
      <c r="Q8" s="5" t="str">
        <f>TEXT(WEEKDAY(DATE(AñoNatural,$A8,Q$1),1),"[$-c0a]ddd")</f>
        <v>vie</v>
      </c>
      <c r="R8" s="5" t="str">
        <f>TEXT(WEEKDAY(DATE(AñoNatural,$A8,R$1),1),"[$-c0a]ddd")</f>
        <v>sáb</v>
      </c>
      <c r="S8" s="5" t="str">
        <f>TEXT(WEEKDAY(DATE(AñoNatural,$A8,S$1),1),"[$-c0a]ddd")</f>
        <v>dom</v>
      </c>
      <c r="T8" s="5" t="str">
        <f>TEXT(WEEKDAY(DATE(AñoNatural,$A8,T$1),1),"[$-c0a]ddd")</f>
        <v>lun</v>
      </c>
      <c r="U8" s="5" t="str">
        <f>TEXT(WEEKDAY(DATE(AñoNatural,$A8,U$1),1),"[$-c0a]ddd")</f>
        <v>mar</v>
      </c>
      <c r="V8" s="5" t="str">
        <f>TEXT(WEEKDAY(DATE(AñoNatural,$A8,V$1),1),"[$-c0a]ddd")</f>
        <v>mié</v>
      </c>
      <c r="W8" s="5" t="str">
        <f>TEXT(WEEKDAY(DATE(AñoNatural,$A8,W$1),1),"[$-c0a]ddd")</f>
        <v>jue</v>
      </c>
      <c r="X8" s="5" t="str">
        <f>TEXT(WEEKDAY(DATE(AñoNatural,$A8,X$1),1),"[$-c0a]ddd")</f>
        <v>vie</v>
      </c>
      <c r="Y8" s="5" t="str">
        <f>TEXT(WEEKDAY(DATE(AñoNatural,$A8,Y$1),1),"[$-c0a]ddd")</f>
        <v>sáb</v>
      </c>
      <c r="Z8" s="5" t="str">
        <f>TEXT(WEEKDAY(DATE(AñoNatural,$A8,Z$1),1),"[$-c0a]ddd")</f>
        <v>dom</v>
      </c>
      <c r="AA8" s="5" t="str">
        <f>TEXT(WEEKDAY(DATE(AñoNatural,$A8,AA$1),1),"[$-c0a]ddd")</f>
        <v>lun</v>
      </c>
      <c r="AB8" s="5" t="str">
        <f>TEXT(WEEKDAY(DATE(AñoNatural,$A8,AB$1),1),"[$-c0a]ddd")</f>
        <v>mar</v>
      </c>
      <c r="AC8" s="5" t="str">
        <f>TEXT(WEEKDAY(DATE(AñoNatural,$A8,AC$1),1),"[$-c0a]ddd")</f>
        <v>mié</v>
      </c>
      <c r="AD8" s="5" t="str">
        <f>TEXT(WEEKDAY(DATE(AñoNatural,$A8,AD$1),1),"[$-c0a]ddd")</f>
        <v>jue</v>
      </c>
      <c r="AE8" s="5" t="str">
        <f>TEXT(WEEKDAY(DATE(AñoNatural,$A8,AE$1),1),"[$-c0a]ddd")</f>
        <v>vie</v>
      </c>
      <c r="AF8" s="5" t="str">
        <f>TEXT(WEEKDAY(DATE(AñoNatural,$A8,AF$1),1),"[$-c0a]ddd")</f>
        <v>sáb</v>
      </c>
    </row>
    <row r="9" ht="14.25" customHeight="1">
      <c r="A9" s="5">
        <v>8.0</v>
      </c>
      <c r="B9" s="5" t="str">
        <f>TEXT(WEEKDAY(DATE(AñoNatural,$A9,B$1),1),"[$-c0a]ddd")</f>
        <v>dom</v>
      </c>
      <c r="C9" s="5" t="str">
        <f>TEXT(WEEKDAY(DATE(AñoNatural,$A9,C$1),1),"[$-c0a]ddd")</f>
        <v>lun</v>
      </c>
      <c r="D9" s="5" t="str">
        <f>TEXT(WEEKDAY(DATE(AñoNatural,$A9,D$1),1),"[$-c0a]ddd")</f>
        <v>mar</v>
      </c>
      <c r="E9" s="5" t="str">
        <f>TEXT(WEEKDAY(DATE(AñoNatural,$A9,E$1),1),"[$-c0a]ddd")</f>
        <v>mié</v>
      </c>
      <c r="F9" s="5" t="str">
        <f>TEXT(WEEKDAY(DATE(AñoNatural,$A9,F$1),1),"[$-c0a]ddd")</f>
        <v>jue</v>
      </c>
      <c r="G9" s="5" t="str">
        <f>TEXT(WEEKDAY(DATE(AñoNatural,$A9,G$1),1),"[$-c0a]ddd")</f>
        <v>vie</v>
      </c>
      <c r="H9" s="5" t="str">
        <f>TEXT(WEEKDAY(DATE(AñoNatural,$A9,H$1),1),"[$-c0a]ddd")</f>
        <v>sáb</v>
      </c>
      <c r="I9" s="5" t="str">
        <f>TEXT(WEEKDAY(DATE(AñoNatural,$A9,I$1),1),"[$-c0a]ddd")</f>
        <v>dom</v>
      </c>
      <c r="J9" s="5" t="str">
        <f>TEXT(WEEKDAY(DATE(AñoNatural,$A9,J$1),1),"[$-c0a]ddd")</f>
        <v>lun</v>
      </c>
      <c r="K9" s="5" t="str">
        <f>TEXT(WEEKDAY(DATE(AñoNatural,$A9,K$1),1),"[$-c0a]ddd")</f>
        <v>mar</v>
      </c>
      <c r="L9" s="5" t="str">
        <f>TEXT(WEEKDAY(DATE(AñoNatural,$A9,L$1),1),"[$-c0a]ddd")</f>
        <v>mié</v>
      </c>
      <c r="M9" s="5" t="str">
        <f>TEXT(WEEKDAY(DATE(AñoNatural,$A9,M$1),1),"[$-c0a]ddd")</f>
        <v>jue</v>
      </c>
      <c r="N9" s="5" t="str">
        <f>TEXT(WEEKDAY(DATE(AñoNatural,$A9,N$1),1),"[$-c0a]ddd")</f>
        <v>vie</v>
      </c>
      <c r="O9" s="5" t="str">
        <f>TEXT(WEEKDAY(DATE(AñoNatural,$A9,O$1),1),"[$-c0a]ddd")</f>
        <v>sáb</v>
      </c>
      <c r="P9" s="5" t="str">
        <f>TEXT(WEEKDAY(DATE(AñoNatural,$A9,P$1),1),"[$-c0a]ddd")</f>
        <v>dom</v>
      </c>
      <c r="Q9" s="5" t="str">
        <f>TEXT(WEEKDAY(DATE(AñoNatural,$A9,Q$1),1),"[$-c0a]ddd")</f>
        <v>lun</v>
      </c>
      <c r="R9" s="5" t="str">
        <f>TEXT(WEEKDAY(DATE(AñoNatural,$A9,R$1),1),"[$-c0a]ddd")</f>
        <v>mar</v>
      </c>
      <c r="S9" s="5" t="str">
        <f>TEXT(WEEKDAY(DATE(AñoNatural,$A9,S$1),1),"[$-c0a]ddd")</f>
        <v>mié</v>
      </c>
      <c r="T9" s="5" t="str">
        <f>TEXT(WEEKDAY(DATE(AñoNatural,$A9,T$1),1),"[$-c0a]ddd")</f>
        <v>jue</v>
      </c>
      <c r="U9" s="5" t="str">
        <f>TEXT(WEEKDAY(DATE(AñoNatural,$A9,U$1),1),"[$-c0a]ddd")</f>
        <v>vie</v>
      </c>
      <c r="V9" s="5" t="str">
        <f>TEXT(WEEKDAY(DATE(AñoNatural,$A9,V$1),1),"[$-c0a]ddd")</f>
        <v>sáb</v>
      </c>
      <c r="W9" s="5" t="str">
        <f>TEXT(WEEKDAY(DATE(AñoNatural,$A9,W$1),1),"[$-c0a]ddd")</f>
        <v>dom</v>
      </c>
      <c r="X9" s="5" t="str">
        <f>TEXT(WEEKDAY(DATE(AñoNatural,$A9,X$1),1),"[$-c0a]ddd")</f>
        <v>lun</v>
      </c>
      <c r="Y9" s="5" t="str">
        <f>TEXT(WEEKDAY(DATE(AñoNatural,$A9,Y$1),1),"[$-c0a]ddd")</f>
        <v>mar</v>
      </c>
      <c r="Z9" s="5" t="str">
        <f>TEXT(WEEKDAY(DATE(AñoNatural,$A9,Z$1),1),"[$-c0a]ddd")</f>
        <v>mié</v>
      </c>
      <c r="AA9" s="5" t="str">
        <f>TEXT(WEEKDAY(DATE(AñoNatural,$A9,AA$1),1),"[$-c0a]ddd")</f>
        <v>jue</v>
      </c>
      <c r="AB9" s="5" t="str">
        <f>TEXT(WEEKDAY(DATE(AñoNatural,$A9,AB$1),1),"[$-c0a]ddd")</f>
        <v>vie</v>
      </c>
      <c r="AC9" s="5" t="str">
        <f>TEXT(WEEKDAY(DATE(AñoNatural,$A9,AC$1),1),"[$-c0a]ddd")</f>
        <v>sáb</v>
      </c>
      <c r="AD9" s="5" t="str">
        <f>TEXT(WEEKDAY(DATE(AñoNatural,$A9,AD$1),1),"[$-c0a]ddd")</f>
        <v>dom</v>
      </c>
      <c r="AE9" s="5" t="str">
        <f>TEXT(WEEKDAY(DATE(AñoNatural,$A9,AE$1),1),"[$-c0a]ddd")</f>
        <v>lun</v>
      </c>
      <c r="AF9" s="5" t="str">
        <f>TEXT(WEEKDAY(DATE(AñoNatural,$A9,AF$1),1),"[$-c0a]ddd")</f>
        <v>mar</v>
      </c>
    </row>
    <row r="10" ht="14.25" customHeight="1">
      <c r="A10" s="5">
        <v>9.0</v>
      </c>
      <c r="B10" s="5" t="str">
        <f>TEXT(WEEKDAY(DATE(AñoNatural,$A10,B$1),1),"[$-c0a]ddd")</f>
        <v>mié</v>
      </c>
      <c r="C10" s="5" t="str">
        <f>TEXT(WEEKDAY(DATE(AñoNatural,$A10,C$1),1),"[$-c0a]ddd")</f>
        <v>jue</v>
      </c>
      <c r="D10" s="5" t="str">
        <f>TEXT(WEEKDAY(DATE(AñoNatural,$A10,D$1),1),"[$-c0a]ddd")</f>
        <v>vie</v>
      </c>
      <c r="E10" s="5" t="str">
        <f>TEXT(WEEKDAY(DATE(AñoNatural,$A10,E$1),1),"[$-c0a]ddd")</f>
        <v>sáb</v>
      </c>
      <c r="F10" s="5" t="str">
        <f>TEXT(WEEKDAY(DATE(AñoNatural,$A10,F$1),1),"[$-c0a]ddd")</f>
        <v>dom</v>
      </c>
      <c r="G10" s="5" t="str">
        <f>TEXT(WEEKDAY(DATE(AñoNatural,$A10,G$1),1),"[$-c0a]ddd")</f>
        <v>lun</v>
      </c>
      <c r="H10" s="5" t="str">
        <f>TEXT(WEEKDAY(DATE(AñoNatural,$A10,H$1),1),"[$-c0a]ddd")</f>
        <v>mar</v>
      </c>
      <c r="I10" s="5" t="str">
        <f>TEXT(WEEKDAY(DATE(AñoNatural,$A10,I$1),1),"[$-c0a]ddd")</f>
        <v>mié</v>
      </c>
      <c r="J10" s="5" t="str">
        <f>TEXT(WEEKDAY(DATE(AñoNatural,$A10,J$1),1),"[$-c0a]ddd")</f>
        <v>jue</v>
      </c>
      <c r="K10" s="5" t="str">
        <f>TEXT(WEEKDAY(DATE(AñoNatural,$A10,K$1),1),"[$-c0a]ddd")</f>
        <v>vie</v>
      </c>
      <c r="L10" s="5" t="str">
        <f>TEXT(WEEKDAY(DATE(AñoNatural,$A10,L$1),1),"[$-c0a]ddd")</f>
        <v>sáb</v>
      </c>
      <c r="M10" s="5" t="str">
        <f>TEXT(WEEKDAY(DATE(AñoNatural,$A10,M$1),1),"[$-c0a]ddd")</f>
        <v>dom</v>
      </c>
      <c r="N10" s="5" t="str">
        <f>TEXT(WEEKDAY(DATE(AñoNatural,$A10,N$1),1),"[$-c0a]ddd")</f>
        <v>lun</v>
      </c>
      <c r="O10" s="5" t="str">
        <f>TEXT(WEEKDAY(DATE(AñoNatural,$A10,O$1),1),"[$-c0a]ddd")</f>
        <v>mar</v>
      </c>
      <c r="P10" s="5" t="str">
        <f>TEXT(WEEKDAY(DATE(AñoNatural,$A10,P$1),1),"[$-c0a]ddd")</f>
        <v>mié</v>
      </c>
      <c r="Q10" s="5" t="str">
        <f>TEXT(WEEKDAY(DATE(AñoNatural,$A10,Q$1),1),"[$-c0a]ddd")</f>
        <v>jue</v>
      </c>
      <c r="R10" s="5" t="str">
        <f>TEXT(WEEKDAY(DATE(AñoNatural,$A10,R$1),1),"[$-c0a]ddd")</f>
        <v>vie</v>
      </c>
      <c r="S10" s="5" t="str">
        <f>TEXT(WEEKDAY(DATE(AñoNatural,$A10,S$1),1),"[$-c0a]ddd")</f>
        <v>sáb</v>
      </c>
      <c r="T10" s="5" t="str">
        <f>TEXT(WEEKDAY(DATE(AñoNatural,$A10,T$1),1),"[$-c0a]ddd")</f>
        <v>dom</v>
      </c>
      <c r="U10" s="5" t="str">
        <f>TEXT(WEEKDAY(DATE(AñoNatural,$A10,U$1),1),"[$-c0a]ddd")</f>
        <v>lun</v>
      </c>
      <c r="V10" s="5" t="str">
        <f>TEXT(WEEKDAY(DATE(AñoNatural,$A10,V$1),1),"[$-c0a]ddd")</f>
        <v>mar</v>
      </c>
      <c r="W10" s="5" t="str">
        <f>TEXT(WEEKDAY(DATE(AñoNatural,$A10,W$1),1),"[$-c0a]ddd")</f>
        <v>mié</v>
      </c>
      <c r="X10" s="5" t="str">
        <f>TEXT(WEEKDAY(DATE(AñoNatural,$A10,X$1),1),"[$-c0a]ddd")</f>
        <v>jue</v>
      </c>
      <c r="Y10" s="5" t="str">
        <f>TEXT(WEEKDAY(DATE(AñoNatural,$A10,Y$1),1),"[$-c0a]ddd")</f>
        <v>vie</v>
      </c>
      <c r="Z10" s="5" t="str">
        <f>TEXT(WEEKDAY(DATE(AñoNatural,$A10,Z$1),1),"[$-c0a]ddd")</f>
        <v>sáb</v>
      </c>
      <c r="AA10" s="5" t="str">
        <f>TEXT(WEEKDAY(DATE(AñoNatural,$A10,AA$1),1),"[$-c0a]ddd")</f>
        <v>dom</v>
      </c>
      <c r="AB10" s="5" t="str">
        <f>TEXT(WEEKDAY(DATE(AñoNatural,$A10,AB$1),1),"[$-c0a]ddd")</f>
        <v>lun</v>
      </c>
      <c r="AC10" s="5" t="str">
        <f>TEXT(WEEKDAY(DATE(AñoNatural,$A10,AC$1),1),"[$-c0a]ddd")</f>
        <v>mar</v>
      </c>
      <c r="AD10" s="5" t="str">
        <f>TEXT(WEEKDAY(DATE(AñoNatural,$A10,AD$1),1),"[$-c0a]ddd")</f>
        <v>mié</v>
      </c>
      <c r="AE10" s="5" t="str">
        <f>TEXT(WEEKDAY(DATE(AñoNatural,$A10,AE$1),1),"[$-c0a]ddd")</f>
        <v>jue</v>
      </c>
      <c r="AF10" s="216"/>
    </row>
    <row r="11" ht="14.25" customHeight="1">
      <c r="A11" s="5">
        <v>10.0</v>
      </c>
      <c r="B11" s="5" t="str">
        <f>TEXT(WEEKDAY(DATE(AñoNatural,$A11,B$1),1),"[$-c0a]ddd")</f>
        <v>vie</v>
      </c>
      <c r="C11" s="5" t="str">
        <f>TEXT(WEEKDAY(DATE(AñoNatural,$A11,C$1),1),"[$-c0a]ddd")</f>
        <v>sáb</v>
      </c>
      <c r="D11" s="5" t="str">
        <f>TEXT(WEEKDAY(DATE(AñoNatural,$A11,D$1),1),"[$-c0a]ddd")</f>
        <v>dom</v>
      </c>
      <c r="E11" s="5" t="str">
        <f>TEXT(WEEKDAY(DATE(AñoNatural,$A11,E$1),1),"[$-c0a]ddd")</f>
        <v>lun</v>
      </c>
      <c r="F11" s="5" t="str">
        <f>TEXT(WEEKDAY(DATE(AñoNatural,$A11,F$1),1),"[$-c0a]ddd")</f>
        <v>mar</v>
      </c>
      <c r="G11" s="5" t="str">
        <f>TEXT(WEEKDAY(DATE(AñoNatural,$A11,G$1),1),"[$-c0a]ddd")</f>
        <v>mié</v>
      </c>
      <c r="H11" s="5" t="str">
        <f>TEXT(WEEKDAY(DATE(AñoNatural,$A11,H$1),1),"[$-c0a]ddd")</f>
        <v>jue</v>
      </c>
      <c r="I11" s="5" t="str">
        <f>TEXT(WEEKDAY(DATE(AñoNatural,$A11,I$1),1),"[$-c0a]ddd")</f>
        <v>vie</v>
      </c>
      <c r="J11" s="5" t="str">
        <f>TEXT(WEEKDAY(DATE(AñoNatural,$A11,J$1),1),"[$-c0a]ddd")</f>
        <v>sáb</v>
      </c>
      <c r="K11" s="5" t="str">
        <f>TEXT(WEEKDAY(DATE(AñoNatural,$A11,K$1),1),"[$-c0a]ddd")</f>
        <v>dom</v>
      </c>
      <c r="L11" s="5" t="str">
        <f>TEXT(WEEKDAY(DATE(AñoNatural,$A11,L$1),1),"[$-c0a]ddd")</f>
        <v>lun</v>
      </c>
      <c r="M11" s="5" t="str">
        <f>TEXT(WEEKDAY(DATE(AñoNatural,$A11,M$1),1),"[$-c0a]ddd")</f>
        <v>mar</v>
      </c>
      <c r="N11" s="5" t="str">
        <f>TEXT(WEEKDAY(DATE(AñoNatural,$A11,N$1),1),"[$-c0a]ddd")</f>
        <v>mié</v>
      </c>
      <c r="O11" s="5" t="str">
        <f>TEXT(WEEKDAY(DATE(AñoNatural,$A11,O$1),1),"[$-c0a]ddd")</f>
        <v>jue</v>
      </c>
      <c r="P11" s="5" t="str">
        <f>TEXT(WEEKDAY(DATE(AñoNatural,$A11,P$1),1),"[$-c0a]ddd")</f>
        <v>vie</v>
      </c>
      <c r="Q11" s="5" t="str">
        <f>TEXT(WEEKDAY(DATE(AñoNatural,$A11,Q$1),1),"[$-c0a]ddd")</f>
        <v>sáb</v>
      </c>
      <c r="R11" s="5" t="str">
        <f>TEXT(WEEKDAY(DATE(AñoNatural,$A11,R$1),1),"[$-c0a]ddd")</f>
        <v>dom</v>
      </c>
      <c r="S11" s="5" t="str">
        <f>TEXT(WEEKDAY(DATE(AñoNatural,$A11,S$1),1),"[$-c0a]ddd")</f>
        <v>lun</v>
      </c>
      <c r="T11" s="5" t="str">
        <f>TEXT(WEEKDAY(DATE(AñoNatural,$A11,T$1),1),"[$-c0a]ddd")</f>
        <v>mar</v>
      </c>
      <c r="U11" s="5" t="str">
        <f>TEXT(WEEKDAY(DATE(AñoNatural,$A11,U$1),1),"[$-c0a]ddd")</f>
        <v>mié</v>
      </c>
      <c r="V11" s="5" t="str">
        <f>TEXT(WEEKDAY(DATE(AñoNatural,$A11,V$1),1),"[$-c0a]ddd")</f>
        <v>jue</v>
      </c>
      <c r="W11" s="5" t="str">
        <f>TEXT(WEEKDAY(DATE(AñoNatural,$A11,W$1),1),"[$-c0a]ddd")</f>
        <v>vie</v>
      </c>
      <c r="X11" s="5" t="str">
        <f>TEXT(WEEKDAY(DATE(AñoNatural,$A11,X$1),1),"[$-c0a]ddd")</f>
        <v>sáb</v>
      </c>
      <c r="Y11" s="5" t="str">
        <f>TEXT(WEEKDAY(DATE(AñoNatural,$A11,Y$1),1),"[$-c0a]ddd")</f>
        <v>dom</v>
      </c>
      <c r="Z11" s="5" t="str">
        <f>TEXT(WEEKDAY(DATE(AñoNatural,$A11,Z$1),1),"[$-c0a]ddd")</f>
        <v>lun</v>
      </c>
      <c r="AA11" s="5" t="str">
        <f>TEXT(WEEKDAY(DATE(AñoNatural,$A11,AA$1),1),"[$-c0a]ddd")</f>
        <v>mar</v>
      </c>
      <c r="AB11" s="5" t="str">
        <f>TEXT(WEEKDAY(DATE(AñoNatural,$A11,AB$1),1),"[$-c0a]ddd")</f>
        <v>mié</v>
      </c>
      <c r="AC11" s="5" t="str">
        <f>TEXT(WEEKDAY(DATE(AñoNatural,$A11,AC$1),1),"[$-c0a]ddd")</f>
        <v>jue</v>
      </c>
      <c r="AD11" s="5" t="str">
        <f>TEXT(WEEKDAY(DATE(AñoNatural,$A11,AD$1),1),"[$-c0a]ddd")</f>
        <v>vie</v>
      </c>
      <c r="AE11" s="5" t="str">
        <f>TEXT(WEEKDAY(DATE(AñoNatural,$A11,AE$1),1),"[$-c0a]ddd")</f>
        <v>sáb</v>
      </c>
      <c r="AF11" s="5" t="str">
        <f>TEXT(WEEKDAY(DATE(AñoNatural,$A11,AF$1),1),"[$-c0a]ddd")</f>
        <v>dom</v>
      </c>
    </row>
    <row r="12" ht="14.25" customHeight="1">
      <c r="A12" s="5">
        <v>11.0</v>
      </c>
      <c r="B12" s="5" t="str">
        <f>TEXT(WEEKDAY(DATE(AñoNatural,$A12,B$1),1),"[$-c0a]ddd")</f>
        <v>lun</v>
      </c>
      <c r="C12" s="5" t="str">
        <f>TEXT(WEEKDAY(DATE(AñoNatural,$A12,C$1),1),"[$-c0a]ddd")</f>
        <v>mar</v>
      </c>
      <c r="D12" s="5" t="str">
        <f>TEXT(WEEKDAY(DATE(AñoNatural,$A12,D$1),1),"[$-c0a]ddd")</f>
        <v>mié</v>
      </c>
      <c r="E12" s="5" t="str">
        <f>TEXT(WEEKDAY(DATE(AñoNatural,$A12,E$1),1),"[$-c0a]ddd")</f>
        <v>jue</v>
      </c>
      <c r="F12" s="5" t="str">
        <f>TEXT(WEEKDAY(DATE(AñoNatural,$A12,F$1),1),"[$-c0a]ddd")</f>
        <v>vie</v>
      </c>
      <c r="G12" s="5" t="str">
        <f>TEXT(WEEKDAY(DATE(AñoNatural,$A12,G$1),1),"[$-c0a]ddd")</f>
        <v>sáb</v>
      </c>
      <c r="H12" s="5" t="str">
        <f>TEXT(WEEKDAY(DATE(AñoNatural,$A12,H$1),1),"[$-c0a]ddd")</f>
        <v>dom</v>
      </c>
      <c r="I12" s="5" t="str">
        <f>TEXT(WEEKDAY(DATE(AñoNatural,$A12,I$1),1),"[$-c0a]ddd")</f>
        <v>lun</v>
      </c>
      <c r="J12" s="5" t="str">
        <f>TEXT(WEEKDAY(DATE(AñoNatural,$A12,J$1),1),"[$-c0a]ddd")</f>
        <v>mar</v>
      </c>
      <c r="K12" s="5" t="str">
        <f>TEXT(WEEKDAY(DATE(AñoNatural,$A12,K$1),1),"[$-c0a]ddd")</f>
        <v>mié</v>
      </c>
      <c r="L12" s="5" t="str">
        <f>TEXT(WEEKDAY(DATE(AñoNatural,$A12,L$1),1),"[$-c0a]ddd")</f>
        <v>jue</v>
      </c>
      <c r="M12" s="5" t="str">
        <f>TEXT(WEEKDAY(DATE(AñoNatural,$A12,M$1),1),"[$-c0a]ddd")</f>
        <v>vie</v>
      </c>
      <c r="N12" s="5" t="str">
        <f>TEXT(WEEKDAY(DATE(AñoNatural,$A12,N$1),1),"[$-c0a]ddd")</f>
        <v>sáb</v>
      </c>
      <c r="O12" s="5" t="str">
        <f>TEXT(WEEKDAY(DATE(AñoNatural,$A12,O$1),1),"[$-c0a]ddd")</f>
        <v>dom</v>
      </c>
      <c r="P12" s="5" t="str">
        <f>TEXT(WEEKDAY(DATE(AñoNatural,$A12,P$1),1),"[$-c0a]ddd")</f>
        <v>lun</v>
      </c>
      <c r="Q12" s="5" t="str">
        <f>TEXT(WEEKDAY(DATE(AñoNatural,$A12,Q$1),1),"[$-c0a]ddd")</f>
        <v>mar</v>
      </c>
      <c r="R12" s="5" t="str">
        <f>TEXT(WEEKDAY(DATE(AñoNatural,$A12,R$1),1),"[$-c0a]ddd")</f>
        <v>mié</v>
      </c>
      <c r="S12" s="5" t="str">
        <f>TEXT(WEEKDAY(DATE(AñoNatural,$A12,S$1),1),"[$-c0a]ddd")</f>
        <v>jue</v>
      </c>
      <c r="T12" s="5" t="str">
        <f>TEXT(WEEKDAY(DATE(AñoNatural,$A12,T$1),1),"[$-c0a]ddd")</f>
        <v>vie</v>
      </c>
      <c r="U12" s="5" t="str">
        <f>TEXT(WEEKDAY(DATE(AñoNatural,$A12,U$1),1),"[$-c0a]ddd")</f>
        <v>sáb</v>
      </c>
      <c r="V12" s="5" t="str">
        <f>TEXT(WEEKDAY(DATE(AñoNatural,$A12,V$1),1),"[$-c0a]ddd")</f>
        <v>dom</v>
      </c>
      <c r="W12" s="5" t="str">
        <f>TEXT(WEEKDAY(DATE(AñoNatural,$A12,W$1),1),"[$-c0a]ddd")</f>
        <v>lun</v>
      </c>
      <c r="X12" s="5" t="str">
        <f>TEXT(WEEKDAY(DATE(AñoNatural,$A12,X$1),1),"[$-c0a]ddd")</f>
        <v>mar</v>
      </c>
      <c r="Y12" s="5" t="str">
        <f>TEXT(WEEKDAY(DATE(AñoNatural,$A12,Y$1),1),"[$-c0a]ddd")</f>
        <v>mié</v>
      </c>
      <c r="Z12" s="5" t="str">
        <f>TEXT(WEEKDAY(DATE(AñoNatural,$A12,Z$1),1),"[$-c0a]ddd")</f>
        <v>jue</v>
      </c>
      <c r="AA12" s="5" t="str">
        <f>TEXT(WEEKDAY(DATE(AñoNatural,$A12,AA$1),1),"[$-c0a]ddd")</f>
        <v>vie</v>
      </c>
      <c r="AB12" s="5" t="str">
        <f>TEXT(WEEKDAY(DATE(AñoNatural,$A12,AB$1),1),"[$-c0a]ddd")</f>
        <v>sáb</v>
      </c>
      <c r="AC12" s="5" t="str">
        <f>TEXT(WEEKDAY(DATE(AñoNatural,$A12,AC$1),1),"[$-c0a]ddd")</f>
        <v>dom</v>
      </c>
      <c r="AD12" s="5" t="str">
        <f>TEXT(WEEKDAY(DATE(AñoNatural,$A12,AD$1),1),"[$-c0a]ddd")</f>
        <v>lun</v>
      </c>
      <c r="AE12" s="5" t="str">
        <f>TEXT(WEEKDAY(DATE(AñoNatural,$A12,AE$1),1),"[$-c0a]ddd")</f>
        <v>mar</v>
      </c>
      <c r="AF12" s="216"/>
    </row>
    <row r="13" ht="14.25" customHeight="1">
      <c r="A13" s="5">
        <v>12.0</v>
      </c>
      <c r="B13" s="5" t="str">
        <f>TEXT(WEEKDAY(DATE(AñoNatural,$A13,B$1),1),"[$-c0a]ddd")</f>
        <v>mié</v>
      </c>
      <c r="C13" s="5" t="str">
        <f>TEXT(WEEKDAY(DATE(AñoNatural,$A13,C$1),1),"[$-c0a]ddd")</f>
        <v>jue</v>
      </c>
      <c r="D13" s="5" t="str">
        <f>TEXT(WEEKDAY(DATE(AñoNatural,$A13,D$1),1),"[$-c0a]ddd")</f>
        <v>vie</v>
      </c>
      <c r="E13" s="5" t="str">
        <f>TEXT(WEEKDAY(DATE(AñoNatural,$A13,E$1),1),"[$-c0a]ddd")</f>
        <v>sáb</v>
      </c>
      <c r="F13" s="5" t="str">
        <f>TEXT(WEEKDAY(DATE(AñoNatural,$A13,F$1),1),"[$-c0a]ddd")</f>
        <v>dom</v>
      </c>
      <c r="G13" s="5" t="str">
        <f>TEXT(WEEKDAY(DATE(AñoNatural,$A13,G$1),1),"[$-c0a]ddd")</f>
        <v>lun</v>
      </c>
      <c r="H13" s="5" t="str">
        <f>TEXT(WEEKDAY(DATE(AñoNatural,$A13,H$1),1),"[$-c0a]ddd")</f>
        <v>mar</v>
      </c>
      <c r="I13" s="5" t="str">
        <f>TEXT(WEEKDAY(DATE(AñoNatural,$A13,I$1),1),"[$-c0a]ddd")</f>
        <v>mié</v>
      </c>
      <c r="J13" s="5" t="str">
        <f>TEXT(WEEKDAY(DATE(AñoNatural,$A13,J$1),1),"[$-c0a]ddd")</f>
        <v>jue</v>
      </c>
      <c r="K13" s="5" t="str">
        <f>TEXT(WEEKDAY(DATE(AñoNatural,$A13,K$1),1),"[$-c0a]ddd")</f>
        <v>vie</v>
      </c>
      <c r="L13" s="5" t="str">
        <f>TEXT(WEEKDAY(DATE(AñoNatural,$A13,L$1),1),"[$-c0a]ddd")</f>
        <v>sáb</v>
      </c>
      <c r="M13" s="5" t="str">
        <f>TEXT(WEEKDAY(DATE(AñoNatural,$A13,M$1),1),"[$-c0a]ddd")</f>
        <v>dom</v>
      </c>
      <c r="N13" s="5" t="str">
        <f>TEXT(WEEKDAY(DATE(AñoNatural,$A13,N$1),1),"[$-c0a]ddd")</f>
        <v>lun</v>
      </c>
      <c r="O13" s="5" t="str">
        <f>TEXT(WEEKDAY(DATE(AñoNatural,$A13,O$1),1),"[$-c0a]ddd")</f>
        <v>mar</v>
      </c>
      <c r="P13" s="5" t="str">
        <f>TEXT(WEEKDAY(DATE(AñoNatural,$A13,P$1),1),"[$-c0a]ddd")</f>
        <v>mié</v>
      </c>
      <c r="Q13" s="5" t="str">
        <f>TEXT(WEEKDAY(DATE(AñoNatural,$A13,Q$1),1),"[$-c0a]ddd")</f>
        <v>jue</v>
      </c>
      <c r="R13" s="5" t="str">
        <f>TEXT(WEEKDAY(DATE(AñoNatural,$A13,R$1),1),"[$-c0a]ddd")</f>
        <v>vie</v>
      </c>
      <c r="S13" s="5" t="str">
        <f>TEXT(WEEKDAY(DATE(AñoNatural,$A13,S$1),1),"[$-c0a]ddd")</f>
        <v>sáb</v>
      </c>
      <c r="T13" s="5" t="str">
        <f>TEXT(WEEKDAY(DATE(AñoNatural,$A13,T$1),1),"[$-c0a]ddd")</f>
        <v>dom</v>
      </c>
      <c r="U13" s="5" t="str">
        <f>TEXT(WEEKDAY(DATE(AñoNatural,$A13,U$1),1),"[$-c0a]ddd")</f>
        <v>lun</v>
      </c>
      <c r="V13" s="5" t="str">
        <f>TEXT(WEEKDAY(DATE(AñoNatural,$A13,V$1),1),"[$-c0a]ddd")</f>
        <v>mar</v>
      </c>
      <c r="W13" s="5" t="str">
        <f>TEXT(WEEKDAY(DATE(AñoNatural,$A13,W$1),1),"[$-c0a]ddd")</f>
        <v>mié</v>
      </c>
      <c r="X13" s="5" t="str">
        <f>TEXT(WEEKDAY(DATE(AñoNatural,$A13,X$1),1),"[$-c0a]ddd")</f>
        <v>jue</v>
      </c>
      <c r="Y13" s="5" t="str">
        <f>TEXT(WEEKDAY(DATE(AñoNatural,$A13,Y$1),1),"[$-c0a]ddd")</f>
        <v>vie</v>
      </c>
      <c r="Z13" s="5" t="str">
        <f>TEXT(WEEKDAY(DATE(AñoNatural,$A13,Z$1),1),"[$-c0a]ddd")</f>
        <v>sáb</v>
      </c>
      <c r="AA13" s="5" t="str">
        <f>TEXT(WEEKDAY(DATE(AñoNatural,$A13,AA$1),1),"[$-c0a]ddd")</f>
        <v>dom</v>
      </c>
      <c r="AB13" s="5" t="str">
        <f>TEXT(WEEKDAY(DATE(AñoNatural,$A13,AB$1),1),"[$-c0a]ddd")</f>
        <v>lun</v>
      </c>
      <c r="AC13" s="5" t="str">
        <f>TEXT(WEEKDAY(DATE(AñoNatural,$A13,AC$1),1),"[$-c0a]ddd")</f>
        <v>mar</v>
      </c>
      <c r="AD13" s="5" t="str">
        <f>TEXT(WEEKDAY(DATE(AñoNatural,$A13,AD$1),1),"[$-c0a]ddd")</f>
        <v>mié</v>
      </c>
      <c r="AE13" s="5" t="str">
        <f>TEXT(WEEKDAY(DATE(AñoNatural,$A13,AE$1),1),"[$-c0a]ddd")</f>
        <v>jue</v>
      </c>
      <c r="AF13" s="5" t="str">
        <f>TEXT(WEEKDAY(DATE(AñoNatural,$A13,AF$1),1),"[$-c0a]ddd")</f>
        <v>vie</v>
      </c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14.25" customHeight="1">
      <c r="A17" s="5" t="s">
        <v>1140</v>
      </c>
      <c r="B17" s="5">
        <v>1.0</v>
      </c>
      <c r="C17" s="5"/>
      <c r="D17" s="5"/>
      <c r="E17" s="5"/>
      <c r="F17" s="5"/>
      <c r="G17" s="5"/>
      <c r="H17" s="5"/>
      <c r="I17" s="5" t="s">
        <v>1119</v>
      </c>
      <c r="J17" s="5" t="s">
        <v>1141</v>
      </c>
      <c r="K17" s="5"/>
      <c r="L17" s="5"/>
      <c r="M17" s="5"/>
      <c r="N17" s="5"/>
      <c r="O17" s="5"/>
      <c r="P17" s="5"/>
      <c r="Q17" s="5"/>
      <c r="R17" s="5"/>
      <c r="S17" s="5"/>
      <c r="T17" s="217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14.25" customHeight="1">
      <c r="A18" s="5" t="s">
        <v>1142</v>
      </c>
      <c r="B18" s="5">
        <v>2.0</v>
      </c>
      <c r="C18" s="5"/>
      <c r="D18" s="5"/>
      <c r="E18" s="5"/>
      <c r="F18" s="5"/>
      <c r="G18" s="5"/>
      <c r="H18" s="5"/>
      <c r="I18" s="5" t="s">
        <v>1143</v>
      </c>
      <c r="J18" s="5" t="s">
        <v>1144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14.25" customHeight="1">
      <c r="A19" s="5" t="s">
        <v>118</v>
      </c>
      <c r="B19" s="5">
        <v>3.0</v>
      </c>
      <c r="C19" s="5"/>
      <c r="D19" s="5"/>
      <c r="E19" s="5"/>
      <c r="F19" s="5"/>
      <c r="G19" s="5"/>
      <c r="H19" s="5"/>
      <c r="I19" s="5" t="s">
        <v>1145</v>
      </c>
      <c r="J19" s="5" t="s">
        <v>1146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14.25" customHeight="1">
      <c r="A20" s="5" t="s">
        <v>1147</v>
      </c>
      <c r="B20" s="5">
        <v>4.0</v>
      </c>
      <c r="C20" s="5"/>
      <c r="D20" s="5"/>
      <c r="E20" s="5"/>
      <c r="F20" s="5"/>
      <c r="G20" s="5"/>
      <c r="H20" s="5"/>
      <c r="I20" s="5" t="s">
        <v>538</v>
      </c>
      <c r="J20" s="5" t="s">
        <v>1148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14.25" customHeight="1">
      <c r="A21" s="5" t="s">
        <v>1149</v>
      </c>
      <c r="B21" s="5">
        <v>5.0</v>
      </c>
      <c r="C21" s="5"/>
      <c r="D21" s="5"/>
      <c r="E21" s="5"/>
      <c r="F21" s="5"/>
      <c r="G21" s="5"/>
      <c r="H21" s="5"/>
      <c r="I21" s="5" t="s">
        <v>1150</v>
      </c>
      <c r="J21" s="5" t="s">
        <v>1151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14.25" customHeight="1">
      <c r="A22" s="5" t="s">
        <v>1152</v>
      </c>
      <c r="B22" s="5">
        <v>6.0</v>
      </c>
      <c r="C22" s="5"/>
      <c r="D22" s="5"/>
      <c r="E22" s="5"/>
      <c r="F22" s="5"/>
      <c r="G22" s="5"/>
      <c r="H22" s="5"/>
      <c r="I22" s="5" t="s">
        <v>1153</v>
      </c>
      <c r="J22" s="5" t="s">
        <v>1154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4.25" customHeight="1">
      <c r="A23" s="5" t="s">
        <v>1155</v>
      </c>
      <c r="B23" s="5">
        <v>7.0</v>
      </c>
      <c r="C23" s="5"/>
      <c r="D23" s="5"/>
      <c r="E23" s="5"/>
      <c r="F23" s="5"/>
      <c r="G23" s="5"/>
      <c r="H23" s="5"/>
      <c r="I23" s="5" t="s">
        <v>1156</v>
      </c>
      <c r="J23" s="5" t="s">
        <v>1157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4.25" customHeight="1">
      <c r="A24" s="5" t="s">
        <v>1158</v>
      </c>
      <c r="B24" s="5">
        <v>8.0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14.25" customHeight="1">
      <c r="A25" s="5" t="s">
        <v>1159</v>
      </c>
      <c r="B25" s="5">
        <v>9.0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14.25" customHeight="1">
      <c r="A26" s="5" t="s">
        <v>1160</v>
      </c>
      <c r="B26" s="5">
        <v>10.0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14.25" customHeight="1">
      <c r="A27" s="5" t="s">
        <v>1161</v>
      </c>
      <c r="B27" s="5">
        <v>11.0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14.25" customHeight="1">
      <c r="A28" s="5" t="s">
        <v>1162</v>
      </c>
      <c r="B28" s="5">
        <v>12.0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2015-08-19T20:44:55Z</dcterms:created>
  <dc:creator>User</dc:creator>
</cp:coreProperties>
</file>